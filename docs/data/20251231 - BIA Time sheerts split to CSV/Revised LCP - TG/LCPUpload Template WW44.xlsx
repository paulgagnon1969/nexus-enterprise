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A8F0DE20-1ABD-4E38-BF04-F51B5C7D654A}" xr6:coauthVersionLast="47" xr6:coauthVersionMax="47" xr10:uidLastSave="{00000000-0000-0000-0000-000000000000}"/>
  <bookViews>
    <workbookView xWindow="-16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3" i="1" l="1"/>
  <c r="L13" i="1" s="1"/>
  <c r="AK14" i="1"/>
  <c r="L14" i="1" s="1"/>
  <c r="AK15" i="1"/>
  <c r="AK16" i="1"/>
  <c r="L16" i="1" s="1"/>
  <c r="AK17" i="1"/>
  <c r="AK18" i="1"/>
  <c r="L18" i="1" s="1"/>
  <c r="AK19" i="1"/>
  <c r="L19" i="1" s="1"/>
  <c r="L15" i="1"/>
  <c r="L17" i="1"/>
  <c r="AK4" i="1"/>
  <c r="L4" i="1" s="1"/>
  <c r="AK12" i="1"/>
  <c r="L12" i="1" s="1"/>
  <c r="AK10" i="1"/>
  <c r="L10" i="1" s="1"/>
  <c r="AK11" i="1"/>
  <c r="L11" i="1" s="1"/>
  <c r="AK8" i="1"/>
  <c r="L8" i="1" s="1"/>
  <c r="AK9" i="1"/>
  <c r="L9" i="1" s="1"/>
  <c r="AK3" i="1"/>
  <c r="L3" i="1" s="1"/>
  <c r="AK5" i="1"/>
  <c r="L5" i="1" s="1"/>
  <c r="AK6" i="1"/>
  <c r="L6" i="1" s="1"/>
  <c r="AK7" i="1"/>
  <c r="L7" i="1" s="1"/>
  <c r="AK2" i="1"/>
  <c r="L2" i="1" s="1"/>
</calcChain>
</file>

<file path=xl/sharedStrings.xml><?xml version="1.0" encoding="utf-8"?>
<sst xmlns="http://schemas.openxmlformats.org/spreadsheetml/2006/main" count="1002" uniqueCount="659">
  <si>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</si>
  <si>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</si>
  <si>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</si>
  <si>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</si>
  <si>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</si>
  <si>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</si>
  <si>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</si>
  <si>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</si>
  <si>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</si>
  <si>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</si>
  <si>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</si>
  <si>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</si>
  <si>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</si>
  <si>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</si>
  <si>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</si>
  <si>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</si>
  <si>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</si>
  <si>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</si>
  <si>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</si>
  <si>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</si>
  <si>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</si>
  <si>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</si>
  <si>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</si>
  <si>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</si>
  <si>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</si>
  <si>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</si>
  <si>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</si>
  <si>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</si>
  <si>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</si>
  <si>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</si>
  <si>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</si>
  <si>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</si>
  <si>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</si>
  <si>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</si>
  <si>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</si>
  <si>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</si>
  <si>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</si>
  <si>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</si>
  <si>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</si>
  <si>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</si>
  <si>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</si>
  <si>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</si>
  <si>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</si>
  <si>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</si>
  <si>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</si>
  <si>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</si>
  <si>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</si>
  <si>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</si>
  <si>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</si>
  <si>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</si>
  <si>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</si>
  <si>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</si>
  <si>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</si>
  <si>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</si>
  <si>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</si>
  <si>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</si>
  <si>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</si>
  <si>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</si>
  <si>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</si>
  <si>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</si>
  <si>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</si>
  <si>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</si>
  <si>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</si>
  <si>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</si>
  <si>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</si>
  <si>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</si>
  <si>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</si>
  <si>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</si>
  <si>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</si>
  <si>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</si>
  <si>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</si>
  <si>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</si>
  <si>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</si>
  <si>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</si>
  <si>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</si>
  <si>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</si>
  <si>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</si>
  <si>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</si>
  <si>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</si>
  <si>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</si>
  <si>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</si>
  <si>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</si>
  <si>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</si>
  <si>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</si>
  <si>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</si>
  <si>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</si>
  <si>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</si>
  <si>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</si>
  <si>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</si>
  <si>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</si>
  <si>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</si>
  <si>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</si>
  <si>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</si>
  <si>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</si>
  <si>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</si>
  <si>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</si>
  <si>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</si>
  <si>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</si>
  <si>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</si>
  <si>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</si>
  <si>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</si>
  <si>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</si>
  <si>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</si>
  <si>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</si>
  <si>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</si>
  <si>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</si>
  <si>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</si>
  <si>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</si>
  <si>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</si>
  <si>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</si>
  <si>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</si>
  <si>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</si>
  <si>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</si>
  <si>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</si>
  <si>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</si>
  <si>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</si>
  <si>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</si>
  <si>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</si>
  <si>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</si>
  <si>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</si>
  <si>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</si>
  <si>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</si>
  <si>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</si>
  <si>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</si>
  <si>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</si>
  <si>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</si>
  <si>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</si>
  <si>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</si>
  <si>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</si>
  <si>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</si>
  <si>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</si>
  <si>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</si>
  <si>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</si>
  <si>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</si>
  <si>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</si>
  <si>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</si>
  <si>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</si>
  <si>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</si>
  <si>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</si>
  <si>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</si>
  <si>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</si>
  <si>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</si>
  <si>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</si>
  <si>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</si>
  <si>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</si>
  <si>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</si>
  <si>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</si>
  <si>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</si>
  <si>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</si>
  <si>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</si>
  <si>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</si>
  <si>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</si>
  <si>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</si>
  <si>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</si>
  <si>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</si>
  <si>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</si>
  <si>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</si>
  <si>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</si>
  <si>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</si>
  <si>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</si>
  <si>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</si>
  <si>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</si>
  <si>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</si>
  <si>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</si>
  <si>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</si>
  <si>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</si>
  <si>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</si>
  <si>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</si>
  <si>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</si>
  <si>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</si>
  <si>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</si>
  <si>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</si>
  <si>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</si>
  <si>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</si>
  <si>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</si>
  <si>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</si>
  <si>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</si>
  <si>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</si>
  <si>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</si>
  <si>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</si>
  <si>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</si>
  <si>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</si>
  <si>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</si>
  <si>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</si>
  <si>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</si>
  <si>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</si>
  <si>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</si>
  <si>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</si>
  <si>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</si>
  <si>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</si>
  <si>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</si>
  <si>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</si>
  <si>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</si>
  <si>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</si>
  <si>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</si>
  <si>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</si>
  <si>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</si>
  <si>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</si>
  <si>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</si>
  <si>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</si>
  <si>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</si>
  <si>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</si>
  <si>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</si>
  <si>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</si>
  <si>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</si>
  <si>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</si>
  <si>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</si>
  <si>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</si>
  <si>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</si>
  <si>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</si>
  <si>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</si>
  <si>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</si>
  <si>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</si>
  <si>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</si>
  <si>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</si>
  <si>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</si>
  <si>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</si>
  <si>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</si>
  <si>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</si>
  <si>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</si>
  <si>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</si>
  <si>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</si>
  <si>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</si>
  <si>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</si>
  <si>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</si>
  <si>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</si>
  <si>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</si>
  <si>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</si>
  <si>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</si>
  <si>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</si>
  <si>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</si>
  <si>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</si>
  <si>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</si>
  <si>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</si>
  <si>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</si>
  <si>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</si>
  <si>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</si>
  <si>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</si>
  <si>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</si>
  <si>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</si>
  <si>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</si>
  <si>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</si>
  <si>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</si>
  <si>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</si>
  <si>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</si>
  <si>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</si>
  <si>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</si>
  <si>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</si>
  <si>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</si>
  <si>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</si>
  <si>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</si>
  <si>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</si>
  <si>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</si>
  <si>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</si>
  <si>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</si>
  <si>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</si>
  <si>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</si>
  <si>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</si>
  <si>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</si>
  <si>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</si>
  <si>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</si>
  <si>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</si>
  <si>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</si>
  <si>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</si>
  <si>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</si>
  <si>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</si>
  <si>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</si>
  <si>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</si>
  <si>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</si>
  <si>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</si>
  <si>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</si>
  <si>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</si>
  <si>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</si>
  <si>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</si>
  <si>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</si>
  <si>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</si>
  <si>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</si>
  <si>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</si>
  <si>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</si>
  <si>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</si>
  <si>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</si>
  <si>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</si>
  <si>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</si>
  <si>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</si>
  <si>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</si>
  <si>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</si>
  <si>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</si>
  <si>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</si>
  <si>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</si>
  <si>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</si>
  <si>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</si>
  <si>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</si>
  <si>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</si>
  <si>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</si>
  <si>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</si>
  <si>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</si>
  <si>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</si>
  <si>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</si>
  <si>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</si>
  <si>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</si>
  <si>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</si>
  <si>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</si>
  <si>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</si>
  <si>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</si>
  <si>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</si>
  <si>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</si>
  <si>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</si>
  <si>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</si>
  <si>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</si>
  <si>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</si>
  <si>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</si>
  <si>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</si>
  <si>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</si>
  <si>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</si>
  <si>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</si>
  <si>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</si>
  <si>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</si>
  <si>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</si>
  <si>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</si>
  <si>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</si>
  <si>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</si>
  <si>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</si>
  <si>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</si>
  <si>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</si>
  <si>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</si>
  <si>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</si>
  <si>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</si>
  <si>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</si>
  <si>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</si>
  <si>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</si>
  <si>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</si>
  <si>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</si>
  <si>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</si>
  <si>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</si>
  <si>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</si>
  <si>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</si>
  <si>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</si>
  <si>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</si>
  <si>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</si>
  <si>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</si>
  <si>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</si>
  <si>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</si>
  <si>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</si>
  <si>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</si>
  <si>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</si>
  <si>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</si>
  <si>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</si>
  <si>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</si>
  <si>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</si>
  <si>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</si>
  <si>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</si>
  <si>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</si>
  <si>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</si>
  <si>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</si>
  <si>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</si>
  <si>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</si>
  <si>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</si>
  <si>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</si>
  <si>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</si>
  <si>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</si>
  <si>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</si>
  <si>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</si>
  <si>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</si>
  <si>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</si>
  <si>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</si>
  <si>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</si>
  <si>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</si>
  <si>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</si>
  <si>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</si>
  <si>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</si>
  <si>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</si>
  <si>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</si>
  <si>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</si>
  <si>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</si>
  <si>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</si>
  <si>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</si>
  <si>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</si>
  <si>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</si>
  <si>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</si>
  <si>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</si>
  <si>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</si>
  <si>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</si>
  <si>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</si>
  <si>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</si>
  <si>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</si>
  <si>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</si>
  <si>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</si>
  <si>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</si>
  <si>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</si>
  <si>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</si>
  <si>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</si>
  <si>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</si>
  <si>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</si>
  <si>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</si>
  <si>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</si>
  <si>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</si>
  <si>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</si>
  <si>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</si>
  <si>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</si>
  <si>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</si>
  <si>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</si>
  <si>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</si>
  <si>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</si>
  <si>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</si>
  <si>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</si>
  <si>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</si>
  <si>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</si>
  <si>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</si>
  <si>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</si>
  <si>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</si>
  <si>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</si>
  <si>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</si>
  <si>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</si>
  <si>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</si>
  <si>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</si>
  <si>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</si>
  <si>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</si>
  <si>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</si>
  <si>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</si>
  <si>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</si>
  <si>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</si>
  <si>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</si>
  <si>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</si>
  <si>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</si>
  <si>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</si>
  <si>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</si>
  <si>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</si>
  <si>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</si>
  <si>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</si>
  <si>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</si>
  <si>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</si>
  <si>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</si>
  <si>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</si>
  <si>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</si>
  <si>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</si>
  <si>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</si>
  <si>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</si>
  <si>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</si>
  <si>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</si>
  <si>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</si>
  <si>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</si>
  <si>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</si>
  <si>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</si>
  <si>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</si>
  <si>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</si>
  <si>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</si>
  <si>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</si>
  <si>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</si>
  <si>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</si>
  <si>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</si>
  <si>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</si>
  <si>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</si>
  <si>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</si>
  <si>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</si>
  <si>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</si>
  <si>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</si>
  <si>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</si>
  <si>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</si>
  <si>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</si>
  <si>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</si>
  <si>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</si>
  <si>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</si>
  <si>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</si>
  <si>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</si>
  <si>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</si>
  <si>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</si>
  <si>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</si>
  <si>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</si>
  <si>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</si>
  <si>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</si>
  <si>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</si>
  <si>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</si>
  <si>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</si>
  <si>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</si>
  <si>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</si>
  <si>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</si>
  <si>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</si>
  <si>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</si>
  <si>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</si>
  <si>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</si>
  <si>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</si>
  <si>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</si>
  <si>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</si>
  <si>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</si>
  <si>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</si>
  <si>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</si>
  <si>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</si>
  <si>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</si>
  <si>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</si>
  <si>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</si>
  <si>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</si>
  <si>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</si>
  <si>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</si>
  <si>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</si>
  <si>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</si>
  <si>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</si>
  <si>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</si>
  <si>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</si>
  <si>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</si>
  <si>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</si>
  <si>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</si>
  <si>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</si>
  <si>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</si>
  <si>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</si>
  <si>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</si>
  <si>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</si>
  <si>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</si>
  <si>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</si>
  <si>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</si>
  <si>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</si>
  <si>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</si>
  <si>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</si>
  <si>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</si>
  <si>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</si>
  <si>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</si>
  <si>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</si>
  <si>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</si>
  <si>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</si>
  <si>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</si>
  <si>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</si>
  <si>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</si>
  <si>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</si>
  <si>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</si>
  <si>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</si>
  <si>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</si>
  <si>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</si>
  <si>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</si>
  <si>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</si>
  <si>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</si>
  <si>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</si>
  <si>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</si>
  <si>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</si>
  <si>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</si>
  <si>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</si>
  <si>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</si>
  <si>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</si>
  <si>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</si>
  <si>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</si>
  <si>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</si>
  <si>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</si>
  <si>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</si>
  <si>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</si>
  <si>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</si>
  <si>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</si>
  <si>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</si>
  <si>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</si>
  <si>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</si>
  <si>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</si>
  <si>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</si>
  <si>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</si>
  <si>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</si>
  <si>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</si>
  <si>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</si>
  <si>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</si>
  <si>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</si>
  <si>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</si>
  <si>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</si>
  <si>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</si>
  <si>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</si>
  <si>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</si>
  <si>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</si>
  <si>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</si>
  <si>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</si>
  <si>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</si>
  <si>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</si>
  <si>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522-51-9108</t>
  </si>
  <si>
    <t>642-67-8860</t>
  </si>
  <si>
    <t>979-94-6657</t>
  </si>
  <si>
    <t>Aurora</t>
  </si>
  <si>
    <t>720-933-9706</t>
  </si>
  <si>
    <t>7340 Daking St</t>
  </si>
  <si>
    <t>Denver</t>
  </si>
  <si>
    <t>983-216-3671</t>
  </si>
  <si>
    <t>214-256-8284</t>
  </si>
  <si>
    <t>ACH</t>
  </si>
  <si>
    <t>John</t>
  </si>
  <si>
    <t>Palmer</t>
  </si>
  <si>
    <t>Supervisor</t>
  </si>
  <si>
    <t>4041 S Quemoy Way</t>
  </si>
  <si>
    <t>N/A</t>
  </si>
  <si>
    <t>Barragan</t>
  </si>
  <si>
    <t>Foreman</t>
  </si>
  <si>
    <t>Carpenter</t>
  </si>
  <si>
    <t>MS</t>
  </si>
  <si>
    <t>Tyler</t>
  </si>
  <si>
    <t>Gagnon</t>
  </si>
  <si>
    <t>080-76-1651</t>
  </si>
  <si>
    <t>3341 Bluestem St</t>
  </si>
  <si>
    <t>Dacono</t>
  </si>
  <si>
    <t>512-750-1921</t>
  </si>
  <si>
    <t>Diego</t>
  </si>
  <si>
    <t>Edwin</t>
  </si>
  <si>
    <t>Mario</t>
  </si>
  <si>
    <t xml:space="preserve">Sepulveda </t>
  </si>
  <si>
    <t>Baez</t>
  </si>
  <si>
    <t>744-77-7342</t>
  </si>
  <si>
    <t>691-06-2209</t>
  </si>
  <si>
    <t>720-855-5714</t>
  </si>
  <si>
    <t>720-692-1257</t>
  </si>
  <si>
    <t>4705 Claude Ct Unit C</t>
  </si>
  <si>
    <t>Jose</t>
  </si>
  <si>
    <t>Michael</t>
  </si>
  <si>
    <t>Baughman</t>
  </si>
  <si>
    <t>425-29-5286</t>
  </si>
  <si>
    <t>601-550-4575</t>
  </si>
  <si>
    <t>Kokomo</t>
  </si>
  <si>
    <t>Mendoza</t>
  </si>
  <si>
    <t>Guzman</t>
  </si>
  <si>
    <t>432-93-9546</t>
  </si>
  <si>
    <t>414-09-2502</t>
  </si>
  <si>
    <t>720-692-0437</t>
  </si>
  <si>
    <t>720-427-3950</t>
  </si>
  <si>
    <t xml:space="preserve">1400 S Eliot St. </t>
  </si>
  <si>
    <t>1985 Ironton St.</t>
  </si>
  <si>
    <t xml:space="preserve">143 C&amp;S RD </t>
  </si>
  <si>
    <t xml:space="preserve">3481 S Fenton St APT A103 </t>
  </si>
  <si>
    <t>Jonathan</t>
  </si>
  <si>
    <t>Cruz</t>
  </si>
  <si>
    <t>941-70-8491</t>
  </si>
  <si>
    <t>2277 S Decatur St</t>
  </si>
  <si>
    <t>720-385-7564</t>
  </si>
  <si>
    <t>Christopher</t>
  </si>
  <si>
    <t>Herrera</t>
  </si>
  <si>
    <t>589-57-3698</t>
  </si>
  <si>
    <t>Vincenzo</t>
  </si>
  <si>
    <t>Triolo</t>
  </si>
  <si>
    <t>131-60-6501</t>
  </si>
  <si>
    <t>Barajas</t>
  </si>
  <si>
    <t>Eastus</t>
  </si>
  <si>
    <t>Barber</t>
  </si>
  <si>
    <t>Angel</t>
  </si>
  <si>
    <t>Olvera</t>
  </si>
  <si>
    <t>Alexis</t>
  </si>
  <si>
    <t>Eduardo</t>
  </si>
  <si>
    <t>617-40-1075</t>
  </si>
  <si>
    <t>524-83-1657</t>
  </si>
  <si>
    <t>640-98-1031</t>
  </si>
  <si>
    <t>355-94-9367</t>
  </si>
  <si>
    <t>328-02-4915</t>
  </si>
  <si>
    <t>Labor</t>
  </si>
  <si>
    <t>786-298-3753</t>
  </si>
  <si>
    <t>914-800-4466</t>
  </si>
  <si>
    <t>720-557-9557</t>
  </si>
  <si>
    <t>720-784-1535</t>
  </si>
  <si>
    <t>720-791-1303</t>
  </si>
  <si>
    <t>720-581-6494</t>
  </si>
  <si>
    <t>720-319-6947</t>
  </si>
  <si>
    <t xml:space="preserve">18920 E Briargate Ln APT 2F </t>
  </si>
  <si>
    <t>Parker</t>
  </si>
  <si>
    <t>510 Centennial CIR APT A216 North</t>
  </si>
  <si>
    <t>Platte</t>
  </si>
  <si>
    <t xml:space="preserve">NE </t>
  </si>
  <si>
    <t xml:space="preserve">305 Thomas Ave </t>
  </si>
  <si>
    <t>Keenesburg</t>
  </si>
  <si>
    <t xml:space="preserve">CO </t>
  </si>
  <si>
    <t xml:space="preserve">12640 W Cedar Dr. </t>
  </si>
  <si>
    <t xml:space="preserve">Lakewood </t>
  </si>
  <si>
    <t xml:space="preserve">9400 Elm Ct Lot 592 </t>
  </si>
  <si>
    <t>3734 N Marion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</si>
</sst>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
      <left style="thick">
        <color rgb="FF0000FF"/>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60">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22" borderId="15" xfId="0" applyFont="1" applyFill="1" applyBorder="1" applyAlignment="1">
      <alignment horizontal="right" wrapText="1"/>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21" borderId="15" xfId="0" applyFont="1" applyFill="1" applyBorder="1" applyAlignment="1">
      <alignment horizontal="right" wrapText="1"/>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xf numFmtId="0" fontId="32" fillId="0" borderId="0" xfId="0" applyFont="1" applyBorder="1" applyAlignment="1">
      <alignment wrapText="1"/>
    </xf>
    <xf numFmtId="0" fontId="2" fillId="0" borderId="0" xfId="0" applyFont="1" applyFill="1"/>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62"/>
  <sheetViews>
    <sheetView tabSelected="1" zoomScale="87" workbookViewId="0">
      <selection activeCell="F29" sqref="F29"/>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6.0898437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45960</v>
      </c>
      <c r="F2" s="3" t="s">
        <v>574</v>
      </c>
      <c r="G2" s="119" t="s">
        <v>584</v>
      </c>
      <c r="H2" s="119" t="s">
        <v>585</v>
      </c>
      <c r="I2" s="3" t="s">
        <v>586</v>
      </c>
      <c r="K2" s="3" t="s">
        <v>577</v>
      </c>
      <c r="L2" s="3">
        <f>AK2*BC2</f>
        <v>1075</v>
      </c>
      <c r="P2" s="136">
        <v>9</v>
      </c>
      <c r="Q2" s="137">
        <v>8</v>
      </c>
      <c r="R2" s="138"/>
      <c r="S2" s="137">
        <v>9.5</v>
      </c>
      <c r="T2" s="137">
        <v>9.25</v>
      </c>
      <c r="U2" s="137">
        <v>9</v>
      </c>
      <c r="V2" s="137">
        <v>9</v>
      </c>
      <c r="AK2" s="3">
        <f>SUM(P2:V2)</f>
        <v>53.75</v>
      </c>
      <c r="AS2" s="3">
        <v>0</v>
      </c>
      <c r="AT2" s="3">
        <v>0</v>
      </c>
      <c r="AU2" s="3">
        <v>0</v>
      </c>
      <c r="AV2" s="3">
        <v>0</v>
      </c>
      <c r="AW2" s="3">
        <v>0</v>
      </c>
      <c r="AX2" s="3">
        <v>0</v>
      </c>
      <c r="AY2" s="3">
        <v>0</v>
      </c>
      <c r="AZ2" s="3">
        <v>0</v>
      </c>
      <c r="BA2" s="3">
        <v>0</v>
      </c>
      <c r="BC2" s="3">
        <v>20</v>
      </c>
      <c r="BD2" s="3" t="s">
        <v>579</v>
      </c>
      <c r="BE2" s="3" t="s">
        <v>579</v>
      </c>
      <c r="BH2" s="3" t="s">
        <v>584</v>
      </c>
      <c r="BI2" s="3" t="s">
        <v>585</v>
      </c>
      <c r="BJ2" s="3" t="s">
        <v>587</v>
      </c>
      <c r="BL2" s="3" t="s">
        <v>588</v>
      </c>
      <c r="BM2" s="3" t="s">
        <v>470</v>
      </c>
      <c r="BN2" s="3">
        <v>80514</v>
      </c>
      <c r="BO2" s="3" t="s">
        <v>589</v>
      </c>
    </row>
    <row r="3" spans="1:104" ht="13" thickBot="1">
      <c r="B3" s="3" t="s">
        <v>559</v>
      </c>
      <c r="E3" s="117">
        <v>45960</v>
      </c>
      <c r="F3" s="3" t="s">
        <v>574</v>
      </c>
      <c r="G3" s="119" t="s">
        <v>575</v>
      </c>
      <c r="H3" s="119" t="s">
        <v>576</v>
      </c>
      <c r="I3" s="128"/>
      <c r="K3" s="3" t="s">
        <v>577</v>
      </c>
      <c r="L3" s="3">
        <f t="shared" ref="L3:L19" si="0">AK3*BC3</f>
        <v>1075</v>
      </c>
      <c r="P3" s="136">
        <v>9</v>
      </c>
      <c r="Q3" s="137">
        <v>8</v>
      </c>
      <c r="R3" s="138"/>
      <c r="S3" s="137">
        <v>9.5</v>
      </c>
      <c r="T3" s="137">
        <v>9.25</v>
      </c>
      <c r="U3" s="137">
        <v>9</v>
      </c>
      <c r="V3" s="137">
        <v>9</v>
      </c>
      <c r="AK3" s="3">
        <f t="shared" ref="AK3:AK19" si="1">SUM(P3:V3)</f>
        <v>53.75</v>
      </c>
      <c r="AS3" s="3">
        <v>0</v>
      </c>
      <c r="AT3" s="3">
        <v>0</v>
      </c>
      <c r="AU3" s="3">
        <v>0</v>
      </c>
      <c r="AV3" s="3">
        <v>0</v>
      </c>
      <c r="AW3" s="3">
        <v>0</v>
      </c>
      <c r="AX3" s="3">
        <v>0</v>
      </c>
      <c r="AY3" s="3">
        <v>0</v>
      </c>
      <c r="AZ3" s="3">
        <v>0</v>
      </c>
      <c r="BA3" s="3">
        <v>0</v>
      </c>
      <c r="BC3" s="3">
        <v>20</v>
      </c>
      <c r="BD3" s="3" t="s">
        <v>579</v>
      </c>
      <c r="BE3" s="3" t="s">
        <v>579</v>
      </c>
      <c r="BH3" s="3" t="s">
        <v>575</v>
      </c>
      <c r="BI3" s="3" t="s">
        <v>576</v>
      </c>
      <c r="BJ3" s="128"/>
      <c r="BK3" s="128"/>
      <c r="BL3" s="128"/>
      <c r="BM3" s="128"/>
      <c r="BN3" s="128"/>
      <c r="BO3" s="128"/>
    </row>
    <row r="4" spans="1:104" ht="13" thickBot="1">
      <c r="B4" s="3" t="s">
        <v>559</v>
      </c>
      <c r="E4" s="117">
        <v>45960</v>
      </c>
      <c r="F4" s="3" t="s">
        <v>574</v>
      </c>
      <c r="G4" s="119" t="s">
        <v>601</v>
      </c>
      <c r="H4" s="119" t="s">
        <v>602</v>
      </c>
      <c r="I4" s="120" t="s">
        <v>603</v>
      </c>
      <c r="K4" s="125" t="s">
        <v>577</v>
      </c>
      <c r="L4" s="3">
        <f t="shared" si="0"/>
        <v>1075</v>
      </c>
      <c r="P4" s="141">
        <v>9</v>
      </c>
      <c r="Q4" s="140">
        <v>8</v>
      </c>
      <c r="R4" s="139"/>
      <c r="S4" s="140">
        <v>9.5</v>
      </c>
      <c r="T4" s="140">
        <v>9.25</v>
      </c>
      <c r="U4" s="140">
        <v>9</v>
      </c>
      <c r="V4" s="140">
        <v>9</v>
      </c>
      <c r="AK4" s="3">
        <f t="shared" si="1"/>
        <v>53.75</v>
      </c>
      <c r="AS4" s="3">
        <v>0</v>
      </c>
      <c r="AT4" s="3">
        <v>0</v>
      </c>
      <c r="AU4" s="3">
        <v>0</v>
      </c>
      <c r="AV4" s="3">
        <v>0</v>
      </c>
      <c r="AW4" s="3">
        <v>0</v>
      </c>
      <c r="AX4" s="3">
        <v>0</v>
      </c>
      <c r="AY4" s="3">
        <v>0</v>
      </c>
      <c r="AZ4" s="3">
        <v>0</v>
      </c>
      <c r="BA4" s="3">
        <v>0</v>
      </c>
      <c r="BC4" s="3">
        <v>20</v>
      </c>
      <c r="BD4" s="3" t="s">
        <v>579</v>
      </c>
      <c r="BE4" s="3" t="s">
        <v>579</v>
      </c>
      <c r="BH4" s="3" t="s">
        <v>601</v>
      </c>
      <c r="BI4" s="3" t="s">
        <v>602</v>
      </c>
      <c r="BJ4" s="120" t="s">
        <v>614</v>
      </c>
      <c r="BL4" s="3" t="s">
        <v>605</v>
      </c>
      <c r="BM4" s="3" t="s">
        <v>583</v>
      </c>
      <c r="BN4" s="3">
        <v>39643</v>
      </c>
      <c r="BO4" s="125" t="s">
        <v>604</v>
      </c>
    </row>
    <row r="5" spans="1:104" ht="13" thickBot="1">
      <c r="B5" s="3" t="s">
        <v>559</v>
      </c>
      <c r="E5" s="117">
        <v>45960</v>
      </c>
      <c r="F5" s="3" t="s">
        <v>574</v>
      </c>
      <c r="G5" s="119" t="s">
        <v>560</v>
      </c>
      <c r="H5" s="119" t="s">
        <v>561</v>
      </c>
      <c r="I5" s="126" t="s">
        <v>565</v>
      </c>
      <c r="K5" s="125" t="s">
        <v>581</v>
      </c>
      <c r="L5" s="3">
        <f t="shared" si="0"/>
        <v>2161.25</v>
      </c>
      <c r="P5" s="136">
        <v>9</v>
      </c>
      <c r="Q5" s="137">
        <v>8</v>
      </c>
      <c r="R5" s="137">
        <v>8</v>
      </c>
      <c r="S5" s="137">
        <v>9.5</v>
      </c>
      <c r="T5" s="137">
        <v>9.25</v>
      </c>
      <c r="U5" s="137">
        <v>9</v>
      </c>
      <c r="V5" s="137">
        <v>9</v>
      </c>
      <c r="AK5" s="3">
        <f t="shared" si="1"/>
        <v>61.75</v>
      </c>
      <c r="AS5" s="3">
        <v>0</v>
      </c>
      <c r="AT5" s="3">
        <v>0</v>
      </c>
      <c r="AU5" s="3">
        <v>0</v>
      </c>
      <c r="AV5" s="3">
        <v>0</v>
      </c>
      <c r="AW5" s="3">
        <v>0</v>
      </c>
      <c r="AX5" s="3">
        <v>0</v>
      </c>
      <c r="AY5" s="3">
        <v>0</v>
      </c>
      <c r="AZ5" s="3">
        <v>0</v>
      </c>
      <c r="BA5" s="3">
        <v>0</v>
      </c>
      <c r="BC5" s="3">
        <v>35</v>
      </c>
      <c r="BD5" s="3" t="s">
        <v>579</v>
      </c>
      <c r="BE5" s="3" t="s">
        <v>579</v>
      </c>
      <c r="BH5" s="3" t="s">
        <v>560</v>
      </c>
      <c r="BI5" s="3" t="s">
        <v>561</v>
      </c>
      <c r="BJ5" s="120" t="s">
        <v>578</v>
      </c>
      <c r="BL5" s="3" t="s">
        <v>568</v>
      </c>
      <c r="BM5" s="3" t="s">
        <v>470</v>
      </c>
      <c r="BN5" s="3">
        <v>80018</v>
      </c>
      <c r="BO5" s="126" t="s">
        <v>569</v>
      </c>
    </row>
    <row r="6" spans="1:104" ht="13" thickBot="1">
      <c r="B6" s="3" t="s">
        <v>559</v>
      </c>
      <c r="E6" s="117">
        <v>45960</v>
      </c>
      <c r="F6" s="3" t="s">
        <v>574</v>
      </c>
      <c r="G6" s="119" t="s">
        <v>562</v>
      </c>
      <c r="H6" s="119" t="s">
        <v>580</v>
      </c>
      <c r="I6" s="127" t="s">
        <v>567</v>
      </c>
      <c r="K6" s="125" t="s">
        <v>582</v>
      </c>
      <c r="L6" s="3">
        <f t="shared" si="0"/>
        <v>1881.25</v>
      </c>
      <c r="P6" s="141">
        <v>9</v>
      </c>
      <c r="Q6" s="140">
        <v>8</v>
      </c>
      <c r="R6" s="139"/>
      <c r="S6" s="140">
        <v>9.5</v>
      </c>
      <c r="T6" s="140">
        <v>9.25</v>
      </c>
      <c r="U6" s="140">
        <v>9</v>
      </c>
      <c r="V6" s="140">
        <v>9</v>
      </c>
      <c r="AK6" s="3">
        <f t="shared" si="1"/>
        <v>53.75</v>
      </c>
      <c r="AS6" s="3">
        <v>0</v>
      </c>
      <c r="AT6" s="3">
        <v>0</v>
      </c>
      <c r="AU6" s="3">
        <v>0</v>
      </c>
      <c r="AV6" s="3">
        <v>0</v>
      </c>
      <c r="AW6" s="3">
        <v>0</v>
      </c>
      <c r="AX6" s="3">
        <v>0</v>
      </c>
      <c r="AY6" s="3">
        <v>0</v>
      </c>
      <c r="AZ6" s="3">
        <v>0</v>
      </c>
      <c r="BA6" s="3">
        <v>0</v>
      </c>
      <c r="BC6" s="3">
        <v>35</v>
      </c>
      <c r="BD6" s="3" t="s">
        <v>579</v>
      </c>
      <c r="BE6" s="3" t="s">
        <v>579</v>
      </c>
      <c r="BH6" s="3" t="s">
        <v>562</v>
      </c>
      <c r="BI6" s="3" t="s">
        <v>580</v>
      </c>
      <c r="BJ6" s="126" t="s">
        <v>570</v>
      </c>
      <c r="BL6" s="3" t="s">
        <v>571</v>
      </c>
      <c r="BM6" s="3" t="s">
        <v>470</v>
      </c>
      <c r="BN6" s="3">
        <v>80221</v>
      </c>
      <c r="BO6" s="126" t="s">
        <v>572</v>
      </c>
    </row>
    <row r="7" spans="1:104" ht="13" thickBot="1">
      <c r="B7" s="3" t="s">
        <v>559</v>
      </c>
      <c r="E7" s="117">
        <v>45960</v>
      </c>
      <c r="F7" s="3" t="s">
        <v>574</v>
      </c>
      <c r="G7" s="119" t="s">
        <v>563</v>
      </c>
      <c r="H7" s="119" t="s">
        <v>580</v>
      </c>
      <c r="I7" s="127" t="s">
        <v>566</v>
      </c>
      <c r="K7" s="125" t="s">
        <v>582</v>
      </c>
      <c r="L7" s="3">
        <f t="shared" si="0"/>
        <v>1881.25</v>
      </c>
      <c r="P7" s="136">
        <v>9</v>
      </c>
      <c r="Q7" s="137">
        <v>8</v>
      </c>
      <c r="R7" s="138"/>
      <c r="S7" s="137">
        <v>9.5</v>
      </c>
      <c r="T7" s="137">
        <v>9.25</v>
      </c>
      <c r="U7" s="137">
        <v>9</v>
      </c>
      <c r="V7" s="137">
        <v>9</v>
      </c>
      <c r="AK7" s="3">
        <f t="shared" si="1"/>
        <v>53.75</v>
      </c>
      <c r="AS7" s="3">
        <v>0</v>
      </c>
      <c r="AT7" s="3">
        <v>0</v>
      </c>
      <c r="AU7" s="3">
        <v>0</v>
      </c>
      <c r="AV7" s="3">
        <v>0</v>
      </c>
      <c r="AW7" s="3">
        <v>0</v>
      </c>
      <c r="AX7" s="3">
        <v>0</v>
      </c>
      <c r="AY7" s="3">
        <v>0</v>
      </c>
      <c r="AZ7" s="3">
        <v>0</v>
      </c>
      <c r="BA7" s="3">
        <v>0</v>
      </c>
      <c r="BC7" s="3">
        <v>35</v>
      </c>
      <c r="BD7" s="3" t="s">
        <v>579</v>
      </c>
      <c r="BE7" s="3" t="s">
        <v>579</v>
      </c>
      <c r="BH7" s="3" t="s">
        <v>563</v>
      </c>
      <c r="BI7" s="3" t="s">
        <v>580</v>
      </c>
      <c r="BJ7" s="126" t="s">
        <v>570</v>
      </c>
      <c r="BL7" s="3" t="s">
        <v>571</v>
      </c>
      <c r="BM7" s="3" t="s">
        <v>470</v>
      </c>
      <c r="BN7" s="3">
        <v>80221</v>
      </c>
      <c r="BO7" s="126" t="s">
        <v>573</v>
      </c>
    </row>
    <row r="8" spans="1:104" ht="13" thickBot="1">
      <c r="B8" s="3" t="s">
        <v>559</v>
      </c>
      <c r="E8" s="117">
        <v>45960</v>
      </c>
      <c r="F8" s="3" t="s">
        <v>574</v>
      </c>
      <c r="G8" s="119" t="s">
        <v>591</v>
      </c>
      <c r="H8" s="119" t="s">
        <v>594</v>
      </c>
      <c r="I8" s="126" t="s">
        <v>595</v>
      </c>
      <c r="K8" s="125" t="s">
        <v>582</v>
      </c>
      <c r="L8" s="3">
        <f t="shared" si="0"/>
        <v>1852.5</v>
      </c>
      <c r="P8" s="141">
        <v>9</v>
      </c>
      <c r="Q8" s="140">
        <v>8</v>
      </c>
      <c r="R8" s="140">
        <v>8</v>
      </c>
      <c r="S8" s="140">
        <v>9.5</v>
      </c>
      <c r="T8" s="140">
        <v>9.25</v>
      </c>
      <c r="U8" s="140">
        <v>9</v>
      </c>
      <c r="V8" s="140">
        <v>9</v>
      </c>
      <c r="AK8" s="3">
        <f t="shared" si="1"/>
        <v>61.75</v>
      </c>
      <c r="AS8" s="3">
        <v>0</v>
      </c>
      <c r="AT8" s="3">
        <v>0</v>
      </c>
      <c r="AU8" s="3">
        <v>0</v>
      </c>
      <c r="AV8" s="3">
        <v>0</v>
      </c>
      <c r="AW8" s="3">
        <v>0</v>
      </c>
      <c r="AX8" s="3">
        <v>0</v>
      </c>
      <c r="AY8" s="3">
        <v>0</v>
      </c>
      <c r="AZ8" s="3">
        <v>0</v>
      </c>
      <c r="BA8" s="3">
        <v>0</v>
      </c>
      <c r="BC8" s="3">
        <v>30</v>
      </c>
      <c r="BD8" s="3" t="s">
        <v>579</v>
      </c>
      <c r="BE8" s="3" t="s">
        <v>579</v>
      </c>
      <c r="BH8" s="3" t="s">
        <v>591</v>
      </c>
      <c r="BI8" s="3" t="s">
        <v>594</v>
      </c>
      <c r="BJ8" s="126" t="s">
        <v>599</v>
      </c>
      <c r="BL8" s="3" t="s">
        <v>571</v>
      </c>
      <c r="BM8" s="3" t="s">
        <v>470</v>
      </c>
      <c r="BN8" s="3">
        <v>80216</v>
      </c>
      <c r="BO8" s="126" t="s">
        <v>597</v>
      </c>
    </row>
    <row r="9" spans="1:104" ht="13" thickBot="1">
      <c r="B9" s="3" t="s">
        <v>559</v>
      </c>
      <c r="E9" s="117">
        <v>45960</v>
      </c>
      <c r="F9" s="3" t="s">
        <v>574</v>
      </c>
      <c r="G9" s="119" t="s">
        <v>592</v>
      </c>
      <c r="H9" s="119" t="s">
        <v>593</v>
      </c>
      <c r="I9" s="127" t="s">
        <v>596</v>
      </c>
      <c r="K9" s="125" t="s">
        <v>582</v>
      </c>
      <c r="L9" s="3">
        <f t="shared" si="0"/>
        <v>1343.75</v>
      </c>
      <c r="P9" s="141">
        <v>9</v>
      </c>
      <c r="Q9" s="140">
        <v>8</v>
      </c>
      <c r="R9" s="139"/>
      <c r="S9" s="140">
        <v>9.5</v>
      </c>
      <c r="T9" s="140">
        <v>9.25</v>
      </c>
      <c r="U9" s="140">
        <v>9</v>
      </c>
      <c r="V9" s="140">
        <v>9</v>
      </c>
      <c r="AK9" s="3">
        <f>SUM(P9:V9)</f>
        <v>53.75</v>
      </c>
      <c r="AS9" s="3">
        <v>0</v>
      </c>
      <c r="AT9" s="3">
        <v>0</v>
      </c>
      <c r="AU9" s="3">
        <v>0</v>
      </c>
      <c r="AV9" s="3">
        <v>0</v>
      </c>
      <c r="AW9" s="3">
        <v>0</v>
      </c>
      <c r="AX9" s="3">
        <v>0</v>
      </c>
      <c r="AY9" s="3">
        <v>0</v>
      </c>
      <c r="AZ9" s="3">
        <v>0</v>
      </c>
      <c r="BA9" s="3">
        <v>0</v>
      </c>
      <c r="BC9" s="3">
        <v>25</v>
      </c>
      <c r="BD9" s="3" t="s">
        <v>579</v>
      </c>
      <c r="BE9" s="3" t="s">
        <v>579</v>
      </c>
      <c r="BH9" s="3" t="s">
        <v>592</v>
      </c>
      <c r="BI9" s="3" t="s">
        <v>593</v>
      </c>
      <c r="BJ9" s="126" t="s">
        <v>615</v>
      </c>
      <c r="BL9" s="3" t="s">
        <v>571</v>
      </c>
      <c r="BM9" s="3" t="s">
        <v>470</v>
      </c>
      <c r="BN9" s="3">
        <v>80227</v>
      </c>
      <c r="BO9" s="126" t="s">
        <v>598</v>
      </c>
    </row>
    <row r="10" spans="1:104" ht="13" thickBot="1">
      <c r="B10" s="3" t="s">
        <v>559</v>
      </c>
      <c r="E10" s="117">
        <v>45960</v>
      </c>
      <c r="F10" s="3" t="s">
        <v>574</v>
      </c>
      <c r="G10" s="119" t="s">
        <v>590</v>
      </c>
      <c r="H10" s="119" t="s">
        <v>606</v>
      </c>
      <c r="I10" s="120" t="s">
        <v>608</v>
      </c>
      <c r="K10" s="125" t="s">
        <v>582</v>
      </c>
      <c r="L10" s="3">
        <f t="shared" si="0"/>
        <v>1022</v>
      </c>
      <c r="P10" s="136">
        <v>0</v>
      </c>
      <c r="Q10" s="137">
        <v>0</v>
      </c>
      <c r="R10" s="138"/>
      <c r="S10" s="137">
        <v>9.5</v>
      </c>
      <c r="T10" s="137">
        <v>9</v>
      </c>
      <c r="U10" s="137">
        <v>9</v>
      </c>
      <c r="V10" s="137">
        <v>9</v>
      </c>
      <c r="AK10" s="3">
        <f>SUM(P10:V10)</f>
        <v>36.5</v>
      </c>
      <c r="AS10" s="3">
        <v>0</v>
      </c>
      <c r="AT10" s="3">
        <v>0</v>
      </c>
      <c r="AU10" s="3">
        <v>0</v>
      </c>
      <c r="AV10" s="3">
        <v>0</v>
      </c>
      <c r="AW10" s="3">
        <v>0</v>
      </c>
      <c r="AX10" s="3">
        <v>0</v>
      </c>
      <c r="AY10" s="3">
        <v>0</v>
      </c>
      <c r="AZ10" s="3">
        <v>0</v>
      </c>
      <c r="BA10" s="3">
        <v>0</v>
      </c>
      <c r="BC10" s="3">
        <v>28</v>
      </c>
      <c r="BD10" s="3" t="s">
        <v>579</v>
      </c>
      <c r="BE10" s="3" t="s">
        <v>579</v>
      </c>
      <c r="BH10" s="3" t="s">
        <v>590</v>
      </c>
      <c r="BI10" s="3" t="s">
        <v>606</v>
      </c>
      <c r="BJ10" s="120" t="s">
        <v>612</v>
      </c>
      <c r="BL10" s="3" t="s">
        <v>571</v>
      </c>
      <c r="BM10" s="3" t="s">
        <v>470</v>
      </c>
      <c r="BN10" s="3">
        <v>80219</v>
      </c>
      <c r="BO10" s="120" t="s">
        <v>610</v>
      </c>
    </row>
    <row r="11" spans="1:104" ht="13" thickBot="1">
      <c r="B11" s="3" t="s">
        <v>559</v>
      </c>
      <c r="E11" s="117">
        <v>45960</v>
      </c>
      <c r="F11" s="3" t="s">
        <v>574</v>
      </c>
      <c r="G11" s="119" t="s">
        <v>600</v>
      </c>
      <c r="H11" s="119" t="s">
        <v>607</v>
      </c>
      <c r="I11" s="120" t="s">
        <v>609</v>
      </c>
      <c r="K11" s="125" t="s">
        <v>582</v>
      </c>
      <c r="L11" s="3">
        <f t="shared" si="0"/>
        <v>985.5</v>
      </c>
      <c r="P11" s="141">
        <v>0</v>
      </c>
      <c r="Q11" s="140">
        <v>0</v>
      </c>
      <c r="R11" s="139"/>
      <c r="S11" s="140">
        <v>9.5</v>
      </c>
      <c r="T11" s="140">
        <v>9</v>
      </c>
      <c r="U11" s="140">
        <v>9</v>
      </c>
      <c r="V11" s="140">
        <v>9</v>
      </c>
      <c r="AK11" s="3">
        <f t="shared" si="1"/>
        <v>36.5</v>
      </c>
      <c r="AS11" s="3">
        <v>0</v>
      </c>
      <c r="AT11" s="3">
        <v>0</v>
      </c>
      <c r="AU11" s="3">
        <v>0</v>
      </c>
      <c r="AV11" s="3">
        <v>0</v>
      </c>
      <c r="AW11" s="3">
        <v>0</v>
      </c>
      <c r="AX11" s="3">
        <v>0</v>
      </c>
      <c r="AY11" s="3">
        <v>0</v>
      </c>
      <c r="AZ11" s="3">
        <v>0</v>
      </c>
      <c r="BA11" s="3">
        <v>0</v>
      </c>
      <c r="BC11" s="3">
        <v>27</v>
      </c>
      <c r="BD11" s="3" t="s">
        <v>579</v>
      </c>
      <c r="BE11" s="3" t="s">
        <v>579</v>
      </c>
      <c r="BH11" s="3" t="s">
        <v>600</v>
      </c>
      <c r="BI11" s="3" t="s">
        <v>607</v>
      </c>
      <c r="BJ11" s="120" t="s">
        <v>613</v>
      </c>
      <c r="BL11" s="3" t="s">
        <v>568</v>
      </c>
      <c r="BM11" s="3" t="s">
        <v>470</v>
      </c>
      <c r="BN11" s="3">
        <v>80010</v>
      </c>
      <c r="BO11" s="120" t="s">
        <v>611</v>
      </c>
    </row>
    <row r="12" spans="1:104" ht="13" thickBot="1">
      <c r="B12" s="3" t="s">
        <v>559</v>
      </c>
      <c r="E12" s="117">
        <v>45960</v>
      </c>
      <c r="F12" s="3" t="s">
        <v>574</v>
      </c>
      <c r="G12" s="119" t="s">
        <v>616</v>
      </c>
      <c r="H12" s="119" t="s">
        <v>617</v>
      </c>
      <c r="I12" s="120" t="s">
        <v>618</v>
      </c>
      <c r="K12" s="125" t="s">
        <v>581</v>
      </c>
      <c r="L12" s="3">
        <f t="shared" si="0"/>
        <v>1881.25</v>
      </c>
      <c r="P12" s="136">
        <v>9</v>
      </c>
      <c r="Q12" s="137">
        <v>8</v>
      </c>
      <c r="R12" s="138"/>
      <c r="S12" s="137">
        <v>9.5</v>
      </c>
      <c r="T12" s="137">
        <v>9.25</v>
      </c>
      <c r="U12" s="137">
        <v>9</v>
      </c>
      <c r="V12" s="137">
        <v>9</v>
      </c>
      <c r="AK12" s="3">
        <f t="shared" si="1"/>
        <v>53.75</v>
      </c>
      <c r="AS12" s="3">
        <v>0</v>
      </c>
      <c r="AT12" s="3">
        <v>0</v>
      </c>
      <c r="AU12" s="3">
        <v>0</v>
      </c>
      <c r="AV12" s="3">
        <v>0</v>
      </c>
      <c r="AW12" s="3">
        <v>0</v>
      </c>
      <c r="AX12" s="3">
        <v>0</v>
      </c>
      <c r="AY12" s="3">
        <v>0</v>
      </c>
      <c r="AZ12" s="3">
        <v>0</v>
      </c>
      <c r="BA12" s="3">
        <v>0</v>
      </c>
      <c r="BC12" s="3">
        <v>35</v>
      </c>
      <c r="BD12" s="3" t="s">
        <v>579</v>
      </c>
      <c r="BE12" s="3" t="s">
        <v>579</v>
      </c>
      <c r="BH12" s="3" t="s">
        <v>616</v>
      </c>
      <c r="BI12" s="3" t="s">
        <v>617</v>
      </c>
      <c r="BJ12" s="120" t="s">
        <v>619</v>
      </c>
      <c r="BL12" s="3" t="s">
        <v>571</v>
      </c>
      <c r="BM12" s="3" t="s">
        <v>470</v>
      </c>
      <c r="BN12" s="3">
        <v>80219</v>
      </c>
      <c r="BO12" s="120" t="s">
        <v>620</v>
      </c>
    </row>
    <row r="13" spans="1:104" ht="13" thickBot="1">
      <c r="B13" s="3" t="s">
        <v>559</v>
      </c>
      <c r="E13" s="117">
        <v>45960</v>
      </c>
      <c r="F13" s="3" t="s">
        <v>574</v>
      </c>
      <c r="G13" s="119" t="s">
        <v>621</v>
      </c>
      <c r="H13" s="119" t="s">
        <v>622</v>
      </c>
      <c r="I13" s="120" t="s">
        <v>623</v>
      </c>
      <c r="K13" s="125" t="s">
        <v>582</v>
      </c>
      <c r="L13" s="3">
        <f t="shared" si="0"/>
        <v>480</v>
      </c>
      <c r="P13" s="141">
        <v>0</v>
      </c>
      <c r="Q13" s="140">
        <v>8</v>
      </c>
      <c r="R13" s="140">
        <v>8</v>
      </c>
      <c r="S13" s="140">
        <v>0</v>
      </c>
      <c r="T13" s="140">
        <v>0</v>
      </c>
      <c r="U13" s="140">
        <v>0</v>
      </c>
      <c r="V13" s="140">
        <v>0</v>
      </c>
      <c r="AK13" s="3">
        <f t="shared" si="1"/>
        <v>16</v>
      </c>
      <c r="AS13" s="3">
        <v>0</v>
      </c>
      <c r="AT13" s="3">
        <v>0</v>
      </c>
      <c r="AU13" s="3">
        <v>0</v>
      </c>
      <c r="AV13" s="3">
        <v>0</v>
      </c>
      <c r="AW13" s="3">
        <v>0</v>
      </c>
      <c r="AX13" s="3">
        <v>0</v>
      </c>
      <c r="AY13" s="3">
        <v>0</v>
      </c>
      <c r="AZ13" s="3">
        <v>0</v>
      </c>
      <c r="BA13" s="3">
        <v>0</v>
      </c>
      <c r="BC13" s="3">
        <v>30</v>
      </c>
      <c r="BD13" s="3" t="s">
        <v>579</v>
      </c>
      <c r="BE13" s="3" t="s">
        <v>579</v>
      </c>
      <c r="BH13" s="159" t="s">
        <v>621</v>
      </c>
      <c r="BI13" s="159" t="s">
        <v>622</v>
      </c>
      <c r="BJ13" s="120" t="s">
        <v>647</v>
      </c>
      <c r="BL13" s="3" t="s">
        <v>648</v>
      </c>
      <c r="BM13" s="3" t="s">
        <v>470</v>
      </c>
      <c r="BN13" s="3">
        <v>80134</v>
      </c>
      <c r="BO13" s="120" t="s">
        <v>640</v>
      </c>
    </row>
    <row r="14" spans="1:104" ht="13" thickBot="1">
      <c r="B14" s="3" t="s">
        <v>559</v>
      </c>
      <c r="E14" s="117">
        <v>45960</v>
      </c>
      <c r="F14" s="3" t="s">
        <v>574</v>
      </c>
      <c r="G14" s="119" t="s">
        <v>624</v>
      </c>
      <c r="H14" s="119" t="s">
        <v>625</v>
      </c>
      <c r="I14" s="120" t="s">
        <v>626</v>
      </c>
      <c r="K14" s="125" t="s">
        <v>582</v>
      </c>
      <c r="L14" s="3">
        <f t="shared" si="0"/>
        <v>1042.5</v>
      </c>
      <c r="P14" s="136">
        <v>0</v>
      </c>
      <c r="Q14" s="137">
        <v>8</v>
      </c>
      <c r="R14" s="137">
        <v>8</v>
      </c>
      <c r="S14" s="137">
        <v>9.5</v>
      </c>
      <c r="T14" s="137">
        <v>9.25</v>
      </c>
      <c r="U14" s="137">
        <v>0</v>
      </c>
      <c r="V14" s="137">
        <v>0</v>
      </c>
      <c r="AK14" s="3">
        <f t="shared" si="1"/>
        <v>34.75</v>
      </c>
      <c r="AS14" s="3">
        <v>0</v>
      </c>
      <c r="AT14" s="3">
        <v>0</v>
      </c>
      <c r="AU14" s="3">
        <v>0</v>
      </c>
      <c r="AV14" s="3">
        <v>0</v>
      </c>
      <c r="AW14" s="3">
        <v>0</v>
      </c>
      <c r="AX14" s="3">
        <v>0</v>
      </c>
      <c r="AY14" s="3">
        <v>0</v>
      </c>
      <c r="AZ14" s="3">
        <v>0</v>
      </c>
      <c r="BA14" s="3">
        <v>0</v>
      </c>
      <c r="BC14" s="3">
        <v>30</v>
      </c>
      <c r="BD14" s="3" t="s">
        <v>579</v>
      </c>
      <c r="BE14" s="3" t="s">
        <v>579</v>
      </c>
      <c r="BH14" s="159" t="s">
        <v>624</v>
      </c>
      <c r="BI14" s="159" t="s">
        <v>625</v>
      </c>
      <c r="BJ14" s="120" t="s">
        <v>649</v>
      </c>
      <c r="BL14" s="3" t="s">
        <v>650</v>
      </c>
      <c r="BM14" s="3" t="s">
        <v>651</v>
      </c>
      <c r="BN14" s="3">
        <v>69101</v>
      </c>
      <c r="BO14" s="120" t="s">
        <v>641</v>
      </c>
    </row>
    <row r="15" spans="1:104" ht="13" thickBot="1">
      <c r="B15" s="3" t="s">
        <v>559</v>
      </c>
      <c r="E15" s="117">
        <v>45960</v>
      </c>
      <c r="F15" s="3" t="s">
        <v>574</v>
      </c>
      <c r="G15" s="119" t="s">
        <v>600</v>
      </c>
      <c r="H15" s="119" t="s">
        <v>627</v>
      </c>
      <c r="I15" s="120" t="s">
        <v>634</v>
      </c>
      <c r="K15" s="125" t="s">
        <v>582</v>
      </c>
      <c r="L15" s="3">
        <f t="shared" si="0"/>
        <v>595</v>
      </c>
      <c r="P15" s="136">
        <v>9</v>
      </c>
      <c r="Q15" s="137">
        <v>0</v>
      </c>
      <c r="R15" s="137">
        <v>8</v>
      </c>
      <c r="S15" s="137">
        <v>0</v>
      </c>
      <c r="T15" s="137">
        <v>0</v>
      </c>
      <c r="U15" s="137">
        <v>0</v>
      </c>
      <c r="V15" s="137">
        <v>0</v>
      </c>
      <c r="AK15" s="3">
        <f t="shared" si="1"/>
        <v>17</v>
      </c>
      <c r="AS15" s="3">
        <v>0</v>
      </c>
      <c r="AT15" s="3">
        <v>0</v>
      </c>
      <c r="AU15" s="3">
        <v>0</v>
      </c>
      <c r="AV15" s="3">
        <v>0</v>
      </c>
      <c r="AW15" s="3">
        <v>0</v>
      </c>
      <c r="AX15" s="3">
        <v>0</v>
      </c>
      <c r="AY15" s="3">
        <v>0</v>
      </c>
      <c r="AZ15" s="3">
        <v>0</v>
      </c>
      <c r="BA15" s="3">
        <v>0</v>
      </c>
      <c r="BC15" s="3">
        <v>35</v>
      </c>
      <c r="BD15" s="3" t="s">
        <v>579</v>
      </c>
      <c r="BE15" s="3" t="s">
        <v>579</v>
      </c>
      <c r="BH15" s="159" t="s">
        <v>600</v>
      </c>
      <c r="BI15" s="159" t="s">
        <v>627</v>
      </c>
      <c r="BJ15" s="120" t="s">
        <v>652</v>
      </c>
      <c r="BL15" s="3" t="s">
        <v>653</v>
      </c>
      <c r="BM15" s="3" t="s">
        <v>654</v>
      </c>
      <c r="BN15" s="3">
        <v>80643</v>
      </c>
      <c r="BO15" s="120" t="s">
        <v>642</v>
      </c>
    </row>
    <row r="16" spans="1:104" ht="13" thickBot="1">
      <c r="B16" s="3" t="s">
        <v>559</v>
      </c>
      <c r="E16" s="117">
        <v>45960</v>
      </c>
      <c r="F16" s="3" t="s">
        <v>574</v>
      </c>
      <c r="G16" s="119" t="s">
        <v>628</v>
      </c>
      <c r="H16" s="119" t="s">
        <v>629</v>
      </c>
      <c r="I16" s="120" t="s">
        <v>635</v>
      </c>
      <c r="K16" s="158" t="s">
        <v>639</v>
      </c>
      <c r="L16" s="3">
        <f t="shared" si="0"/>
        <v>160</v>
      </c>
      <c r="P16" s="141">
        <v>0</v>
      </c>
      <c r="Q16" s="140">
        <v>8</v>
      </c>
      <c r="R16" s="140">
        <v>0</v>
      </c>
      <c r="S16" s="140">
        <v>0</v>
      </c>
      <c r="T16" s="140">
        <v>0</v>
      </c>
      <c r="U16" s="140">
        <v>0</v>
      </c>
      <c r="V16" s="140">
        <v>0</v>
      </c>
      <c r="AK16" s="3">
        <f t="shared" si="1"/>
        <v>8</v>
      </c>
      <c r="AS16" s="3">
        <v>0</v>
      </c>
      <c r="AT16" s="3">
        <v>0</v>
      </c>
      <c r="AU16" s="3">
        <v>0</v>
      </c>
      <c r="AV16" s="3">
        <v>0</v>
      </c>
      <c r="AW16" s="3">
        <v>0</v>
      </c>
      <c r="AX16" s="3">
        <v>0</v>
      </c>
      <c r="AY16" s="3">
        <v>0</v>
      </c>
      <c r="AZ16" s="3">
        <v>0</v>
      </c>
      <c r="BA16" s="3">
        <v>0</v>
      </c>
      <c r="BC16" s="3">
        <v>20</v>
      </c>
      <c r="BD16" s="3" t="s">
        <v>579</v>
      </c>
      <c r="BE16" s="3" t="s">
        <v>579</v>
      </c>
      <c r="BH16" s="159" t="s">
        <v>628</v>
      </c>
      <c r="BI16" s="159" t="s">
        <v>629</v>
      </c>
      <c r="BJ16" s="120" t="s">
        <v>655</v>
      </c>
      <c r="BL16" s="3" t="s">
        <v>656</v>
      </c>
      <c r="BM16" s="3" t="s">
        <v>654</v>
      </c>
      <c r="BN16" s="3">
        <v>80120</v>
      </c>
      <c r="BO16" s="120" t="s">
        <v>643</v>
      </c>
    </row>
    <row r="17" spans="1:85" ht="13" thickBot="1">
      <c r="B17" s="3" t="s">
        <v>559</v>
      </c>
      <c r="E17" s="117">
        <v>45960</v>
      </c>
      <c r="F17" s="3" t="s">
        <v>574</v>
      </c>
      <c r="G17" s="119" t="s">
        <v>630</v>
      </c>
      <c r="H17" s="119" t="s">
        <v>631</v>
      </c>
      <c r="I17" s="120" t="s">
        <v>636</v>
      </c>
      <c r="K17" s="158" t="s">
        <v>639</v>
      </c>
      <c r="L17" s="3">
        <f t="shared" si="0"/>
        <v>1118.75</v>
      </c>
      <c r="P17" s="141">
        <v>0</v>
      </c>
      <c r="Q17" s="140">
        <v>8</v>
      </c>
      <c r="R17" s="139"/>
      <c r="S17" s="140">
        <v>9.5</v>
      </c>
      <c r="T17" s="140">
        <v>9.25</v>
      </c>
      <c r="U17" s="140">
        <v>9</v>
      </c>
      <c r="V17" s="140">
        <v>9</v>
      </c>
      <c r="AK17" s="3">
        <f t="shared" si="1"/>
        <v>44.75</v>
      </c>
      <c r="AS17" s="3">
        <v>0</v>
      </c>
      <c r="AT17" s="3">
        <v>0</v>
      </c>
      <c r="AU17" s="3">
        <v>0</v>
      </c>
      <c r="AV17" s="3">
        <v>0</v>
      </c>
      <c r="AW17" s="3">
        <v>0</v>
      </c>
      <c r="AX17" s="3">
        <v>0</v>
      </c>
      <c r="AY17" s="3">
        <v>0</v>
      </c>
      <c r="AZ17" s="3">
        <v>0</v>
      </c>
      <c r="BA17" s="3">
        <v>0</v>
      </c>
      <c r="BC17" s="3">
        <v>25</v>
      </c>
      <c r="BD17" s="3" t="s">
        <v>579</v>
      </c>
      <c r="BE17" s="3" t="s">
        <v>579</v>
      </c>
      <c r="BH17" s="159" t="s">
        <v>630</v>
      </c>
      <c r="BI17" s="159" t="s">
        <v>631</v>
      </c>
      <c r="BJ17" s="120" t="s">
        <v>657</v>
      </c>
      <c r="BL17" s="3" t="s">
        <v>571</v>
      </c>
      <c r="BM17" s="3" t="s">
        <v>654</v>
      </c>
      <c r="BN17" s="3">
        <v>80260</v>
      </c>
      <c r="BO17" s="120" t="s">
        <v>646</v>
      </c>
    </row>
    <row r="18" spans="1:85" ht="13" thickBot="1">
      <c r="B18" s="3" t="s">
        <v>559</v>
      </c>
      <c r="E18" s="117">
        <v>45960</v>
      </c>
      <c r="F18" s="3" t="s">
        <v>574</v>
      </c>
      <c r="G18" s="119" t="s">
        <v>632</v>
      </c>
      <c r="H18" s="119" t="s">
        <v>564</v>
      </c>
      <c r="I18" s="126" t="s">
        <v>637</v>
      </c>
      <c r="K18" s="125" t="s">
        <v>582</v>
      </c>
      <c r="L18" s="3">
        <f t="shared" si="0"/>
        <v>1342.5</v>
      </c>
      <c r="P18" s="136">
        <v>0</v>
      </c>
      <c r="Q18" s="137">
        <v>8</v>
      </c>
      <c r="R18" s="138"/>
      <c r="S18" s="137">
        <v>9.5</v>
      </c>
      <c r="T18" s="137">
        <v>9.25</v>
      </c>
      <c r="U18" s="137">
        <v>9</v>
      </c>
      <c r="V18" s="137">
        <v>9</v>
      </c>
      <c r="AK18" s="3">
        <f t="shared" si="1"/>
        <v>44.75</v>
      </c>
      <c r="AS18" s="3">
        <v>0</v>
      </c>
      <c r="AT18" s="3">
        <v>0</v>
      </c>
      <c r="AU18" s="3">
        <v>0</v>
      </c>
      <c r="AV18" s="3">
        <v>0</v>
      </c>
      <c r="AW18" s="3">
        <v>0</v>
      </c>
      <c r="AX18" s="3">
        <v>0</v>
      </c>
      <c r="AY18" s="3">
        <v>0</v>
      </c>
      <c r="AZ18" s="3">
        <v>0</v>
      </c>
      <c r="BA18" s="3">
        <v>0</v>
      </c>
      <c r="BC18" s="3">
        <v>30</v>
      </c>
      <c r="BD18" s="3" t="s">
        <v>579</v>
      </c>
      <c r="BE18" s="3" t="s">
        <v>579</v>
      </c>
      <c r="BH18" s="159" t="s">
        <v>632</v>
      </c>
      <c r="BI18" s="159" t="s">
        <v>564</v>
      </c>
      <c r="BJ18" s="126" t="s">
        <v>658</v>
      </c>
      <c r="BL18" s="3" t="s">
        <v>571</v>
      </c>
      <c r="BM18" s="3" t="s">
        <v>654</v>
      </c>
      <c r="BN18" s="3">
        <v>80205</v>
      </c>
      <c r="BO18" s="126" t="s">
        <v>644</v>
      </c>
    </row>
    <row r="19" spans="1:85" ht="13" thickBot="1">
      <c r="B19" s="3" t="s">
        <v>559</v>
      </c>
      <c r="E19" s="117">
        <v>45960</v>
      </c>
      <c r="F19" s="3" t="s">
        <v>574</v>
      </c>
      <c r="G19" s="119" t="s">
        <v>633</v>
      </c>
      <c r="H19" s="119" t="s">
        <v>564</v>
      </c>
      <c r="I19" s="127" t="s">
        <v>638</v>
      </c>
      <c r="K19" s="158" t="s">
        <v>639</v>
      </c>
      <c r="L19" s="3">
        <f t="shared" si="0"/>
        <v>1118.75</v>
      </c>
      <c r="P19" s="141">
        <v>0</v>
      </c>
      <c r="Q19" s="140">
        <v>8</v>
      </c>
      <c r="R19" s="139"/>
      <c r="S19" s="140">
        <v>9.5</v>
      </c>
      <c r="T19" s="140">
        <v>9.25</v>
      </c>
      <c r="U19" s="140">
        <v>9</v>
      </c>
      <c r="V19" s="140">
        <v>9</v>
      </c>
      <c r="AK19" s="3">
        <f t="shared" si="1"/>
        <v>44.75</v>
      </c>
      <c r="AS19" s="3">
        <v>0</v>
      </c>
      <c r="AT19" s="3">
        <v>0</v>
      </c>
      <c r="AU19" s="3">
        <v>0</v>
      </c>
      <c r="AV19" s="3">
        <v>0</v>
      </c>
      <c r="AW19" s="3">
        <v>0</v>
      </c>
      <c r="AX19" s="3">
        <v>0</v>
      </c>
      <c r="AY19" s="3">
        <v>0</v>
      </c>
      <c r="AZ19" s="3">
        <v>0</v>
      </c>
      <c r="BA19" s="3">
        <v>0</v>
      </c>
      <c r="BC19" s="3">
        <v>25</v>
      </c>
      <c r="BD19" s="3" t="s">
        <v>579</v>
      </c>
      <c r="BE19" s="3" t="s">
        <v>579</v>
      </c>
      <c r="BH19" s="159" t="s">
        <v>633</v>
      </c>
      <c r="BI19" s="159" t="s">
        <v>564</v>
      </c>
      <c r="BJ19" s="126" t="s">
        <v>658</v>
      </c>
      <c r="BL19" s="3" t="s">
        <v>571</v>
      </c>
      <c r="BM19" s="3" t="s">
        <v>654</v>
      </c>
      <c r="BN19" s="3">
        <v>80205</v>
      </c>
      <c r="BO19" s="126" t="s">
        <v>645</v>
      </c>
    </row>
    <row r="20" spans="1:85" s="130" customFormat="1">
      <c r="A20" s="129"/>
      <c r="E20" s="131"/>
      <c r="CG20" s="132"/>
    </row>
    <row r="21" spans="1:85">
      <c r="E21" s="117"/>
    </row>
    <row r="22" spans="1:85">
      <c r="E22" s="117"/>
    </row>
    <row r="23" spans="1:85">
      <c r="E23" s="117"/>
    </row>
    <row r="24" spans="1:85">
      <c r="E24" s="117"/>
    </row>
    <row r="25" spans="1:85">
      <c r="E25" s="117"/>
    </row>
    <row r="26" spans="1:85">
      <c r="E26" s="117"/>
    </row>
    <row r="27" spans="1:85">
      <c r="E27" s="117"/>
    </row>
    <row r="28" spans="1:85">
      <c r="E28" s="117"/>
    </row>
    <row r="29" spans="1:85">
      <c r="E29" s="117"/>
    </row>
    <row r="30" spans="1:85">
      <c r="E30" s="117"/>
    </row>
    <row r="31" spans="1:85">
      <c r="E31" s="117"/>
    </row>
    <row r="32" spans="1:85">
      <c r="E32" s="117"/>
    </row>
    <row r="33" spans="5:5">
      <c r="E33" s="117"/>
    </row>
    <row r="34" spans="5:5">
      <c r="E34" s="117"/>
    </row>
    <row r="35" spans="5:5">
      <c r="E35" s="117"/>
    </row>
    <row r="36" spans="5:5">
      <c r="E36" s="117"/>
    </row>
    <row r="37" spans="5:5">
      <c r="E37" s="117"/>
    </row>
    <row r="38" spans="5:5">
      <c r="E38" s="117"/>
    </row>
    <row r="39" spans="5:5">
      <c r="E39" s="117"/>
    </row>
    <row r="40" spans="5:5">
      <c r="E40" s="117"/>
    </row>
    <row r="41" spans="5:5">
      <c r="E41" s="117"/>
    </row>
    <row r="42" spans="5:5">
      <c r="E42" s="117"/>
    </row>
    <row r="43" spans="5:5">
      <c r="E43" s="117"/>
    </row>
    <row r="44" spans="5:5">
      <c r="E44" s="117"/>
    </row>
    <row r="45" spans="5:5">
      <c r="E45" s="117"/>
    </row>
    <row r="46" spans="5:5">
      <c r="E46" s="117"/>
    </row>
    <row r="47" spans="5:5">
      <c r="E47" s="117"/>
    </row>
    <row r="48" spans="5: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60">
      <c r="E65" s="117"/>
    </row>
    <row r="66" spans="5:60">
      <c r="E66" s="117"/>
    </row>
    <row r="67" spans="5:60">
      <c r="E67" s="117"/>
    </row>
    <row r="68" spans="5:60">
      <c r="E68" s="117"/>
    </row>
    <row r="69" spans="5:60">
      <c r="E69" s="117"/>
    </row>
    <row r="70" spans="5:60">
      <c r="E70" s="117"/>
    </row>
    <row r="71" spans="5:60">
      <c r="E71" s="117"/>
    </row>
    <row r="72" spans="5:60">
      <c r="E72" s="117"/>
    </row>
    <row r="73" spans="5:60">
      <c r="E73" s="117"/>
    </row>
    <row r="74" spans="5:60">
      <c r="E74" s="117"/>
    </row>
    <row r="75" spans="5:60">
      <c r="E75" s="117"/>
    </row>
    <row r="76" spans="5:60">
      <c r="E76" s="117"/>
    </row>
    <row r="77" spans="5:60">
      <c r="E77" s="117"/>
    </row>
    <row r="78" spans="5:60">
      <c r="E78" s="117"/>
      <c r="BH78" s="118"/>
    </row>
    <row r="79" spans="5:60">
      <c r="E79" s="117"/>
    </row>
    <row r="80" spans="5:60">
      <c r="E80" s="117"/>
    </row>
    <row r="81" spans="5:5">
      <c r="E81" s="117"/>
    </row>
    <row r="82" spans="5:5">
      <c r="E82" s="117"/>
    </row>
    <row r="83" spans="5:5">
      <c r="E83" s="117"/>
    </row>
    <row r="84" spans="5:5">
      <c r="E84" s="117"/>
    </row>
    <row r="85" spans="5:5">
      <c r="E85" s="117"/>
    </row>
    <row r="86" spans="5:5">
      <c r="E86" s="117"/>
    </row>
    <row r="87" spans="5:5">
      <c r="E87" s="117"/>
    </row>
    <row r="88" spans="5:5">
      <c r="E88" s="117"/>
    </row>
    <row r="89" spans="5:5">
      <c r="E89" s="117"/>
    </row>
    <row r="90" spans="5:5">
      <c r="E90" s="117"/>
    </row>
    <row r="91" spans="5:5">
      <c r="E91" s="117"/>
    </row>
    <row r="92" spans="5:5">
      <c r="E92" s="117"/>
    </row>
    <row r="93" spans="5:5">
      <c r="E93" s="117"/>
    </row>
    <row r="94" spans="5:5">
      <c r="E94" s="117"/>
    </row>
    <row r="95" spans="5:5">
      <c r="E95" s="117"/>
    </row>
    <row r="96" spans="5:5">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22">
      <c r="E161" s="117"/>
      <c r="P161" s="121"/>
      <c r="Q161" s="121"/>
      <c r="R161" s="121"/>
      <c r="S161" s="123"/>
      <c r="T161" s="123"/>
      <c r="U161" s="123"/>
      <c r="V161" s="123"/>
    </row>
    <row r="162" spans="5:22">
      <c r="E162" s="117"/>
      <c r="P162" s="122"/>
      <c r="Q162" s="122"/>
      <c r="R162" s="122"/>
      <c r="S162" s="124"/>
      <c r="T162" s="124"/>
      <c r="U162" s="124"/>
      <c r="V162" s="124"/>
    </row>
  </sheetData>
  <autoFilter ref="A1:CZ162" xr:uid="{3EEBDBCB-6EFF-B840-AAF9-0FC373EF6B9B}">
    <sortState xmlns:xlrd2="http://schemas.microsoft.com/office/spreadsheetml/2017/richdata2" ref="A2:CZ162">
      <sortCondition descending="1" ref="E1:E162"/>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13">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43" t="s">
        <v>162</v>
      </c>
      <c r="D11" s="143"/>
      <c r="E11" s="143"/>
      <c r="F11" s="143"/>
      <c r="G11" s="143"/>
      <c r="H11" s="143"/>
      <c r="I11" s="143"/>
      <c r="J11" s="143"/>
      <c r="K11" s="143"/>
      <c r="L11" s="143"/>
      <c r="M11" s="143"/>
    </row>
    <row r="12" spans="2:26" s="12" customFormat="1" ht="14">
      <c r="B12" s="13"/>
      <c r="C12" s="14" t="s">
        <v>163</v>
      </c>
      <c r="D12" s="143" t="s">
        <v>164</v>
      </c>
      <c r="E12" s="143"/>
      <c r="F12" s="143"/>
      <c r="G12" s="143"/>
      <c r="H12" s="143"/>
      <c r="I12" s="143"/>
      <c r="J12" s="143"/>
      <c r="K12" s="143"/>
      <c r="L12" s="143"/>
    </row>
    <row r="13" spans="2:26" s="12" customFormat="1" ht="14">
      <c r="B13" s="13"/>
      <c r="C13" s="14" t="s">
        <v>165</v>
      </c>
      <c r="D13" s="143" t="s">
        <v>166</v>
      </c>
      <c r="E13" s="143"/>
      <c r="F13" s="143"/>
      <c r="G13" s="143"/>
      <c r="H13" s="143"/>
      <c r="I13" s="143"/>
      <c r="J13" s="143"/>
      <c r="K13" s="143"/>
      <c r="L13" s="143"/>
    </row>
    <row r="14" spans="2:26" s="12" customFormat="1" ht="14">
      <c r="B14" s="13"/>
      <c r="C14" s="14" t="s">
        <v>167</v>
      </c>
      <c r="D14" s="143" t="s">
        <v>168</v>
      </c>
      <c r="E14" s="143"/>
      <c r="F14" s="143"/>
      <c r="G14" s="143"/>
      <c r="H14" s="143"/>
      <c r="I14" s="143"/>
      <c r="J14" s="143"/>
      <c r="K14" s="143"/>
      <c r="L14" s="143"/>
    </row>
    <row r="15" spans="2:26" s="12" customFormat="1" ht="14.5">
      <c r="B15" s="13"/>
      <c r="C15" s="14" t="s">
        <v>169</v>
      </c>
      <c r="D15" s="12" t="s">
        <v>170</v>
      </c>
    </row>
    <row r="16" spans="2:26" s="12" customFormat="1" ht="14">
      <c r="B16" s="11" t="s">
        <v>171</v>
      </c>
      <c r="C16" s="144" t="s">
        <v>172</v>
      </c>
      <c r="D16" s="144"/>
      <c r="E16" s="144"/>
      <c r="F16" s="144"/>
      <c r="G16" s="144"/>
      <c r="H16" s="144"/>
      <c r="I16" s="144"/>
      <c r="J16" s="144"/>
      <c r="K16" s="144"/>
      <c r="L16" s="144"/>
      <c r="M16" s="144"/>
      <c r="N16" s="144"/>
      <c r="O16" s="144"/>
      <c r="P16" s="144"/>
      <c r="Q16" s="144"/>
      <c r="R16" s="144"/>
      <c r="S16" s="144"/>
      <c r="T16" s="144"/>
      <c r="U16" s="144"/>
      <c r="V16" s="144"/>
      <c r="W16" s="144"/>
      <c r="X16" s="144"/>
      <c r="Y16" s="144"/>
      <c r="Z16" s="144"/>
    </row>
    <row r="17" spans="2:12" s="12" customFormat="1" ht="14">
      <c r="B17" s="13"/>
      <c r="C17" s="14" t="s">
        <v>163</v>
      </c>
      <c r="D17" s="143" t="s">
        <v>164</v>
      </c>
      <c r="E17" s="143"/>
      <c r="F17" s="143"/>
      <c r="G17" s="143"/>
      <c r="H17" s="143"/>
      <c r="I17" s="143"/>
      <c r="J17" s="143"/>
      <c r="K17" s="143"/>
      <c r="L17" s="143"/>
    </row>
    <row r="18" spans="2:12" s="12" customFormat="1" ht="14">
      <c r="B18" s="13"/>
      <c r="C18" s="14" t="s">
        <v>165</v>
      </c>
      <c r="D18" s="143" t="s">
        <v>166</v>
      </c>
      <c r="E18" s="143"/>
      <c r="F18" s="143"/>
      <c r="G18" s="143"/>
      <c r="H18" s="143"/>
      <c r="I18" s="143"/>
      <c r="J18" s="143"/>
      <c r="K18" s="143"/>
      <c r="L18" s="143"/>
    </row>
    <row r="19" spans="2:12" s="12" customFormat="1" ht="14">
      <c r="B19" s="13"/>
      <c r="C19" s="14" t="s">
        <v>167</v>
      </c>
      <c r="D19" s="12" t="s">
        <v>173</v>
      </c>
    </row>
    <row r="20" spans="2:12" s="12" customFormat="1" ht="14"/>
    <row r="21" spans="2:12" s="12" customFormat="1" ht="14">
      <c r="B21" s="12" t="s">
        <v>174</v>
      </c>
    </row>
    <row r="25" spans="2:12">
      <c r="B25" s="90" t="s">
        <v>508</v>
      </c>
    </row>
    <row r="26" spans="2:12">
      <c r="B26" s="142" t="s">
        <v>512</v>
      </c>
      <c r="C26" s="142"/>
      <c r="D26" s="3" t="s">
        <v>509</v>
      </c>
    </row>
    <row r="27" spans="2:12">
      <c r="B27" s="142" t="s">
        <v>513</v>
      </c>
      <c r="C27" s="142"/>
      <c r="D27" s="3" t="s">
        <v>510</v>
      </c>
    </row>
    <row r="28" spans="2:12">
      <c r="B28" s="142" t="s">
        <v>514</v>
      </c>
      <c r="C28" s="142"/>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49" t="s">
        <v>232</v>
      </c>
      <c r="B2" s="149"/>
      <c r="C2" s="149"/>
      <c r="D2" s="149"/>
      <c r="E2" s="149"/>
      <c r="F2" s="149"/>
      <c r="G2" s="150"/>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56" t="s">
        <v>505</v>
      </c>
    </row>
    <row r="12" spans="1:8" ht="87.5">
      <c r="A12" s="15" t="s">
        <v>239</v>
      </c>
      <c r="B12" s="34" t="s">
        <v>240</v>
      </c>
      <c r="C12" s="55" t="s">
        <v>374</v>
      </c>
      <c r="D12" s="43" t="s">
        <v>1</v>
      </c>
      <c r="E12" s="17" t="s">
        <v>241</v>
      </c>
      <c r="F12" s="15" t="s">
        <v>242</v>
      </c>
      <c r="G12" s="18">
        <v>50</v>
      </c>
      <c r="H12" s="156"/>
    </row>
    <row r="13" spans="1:8" ht="72" customHeight="1">
      <c r="A13" s="15" t="s">
        <v>243</v>
      </c>
      <c r="B13" s="15" t="s">
        <v>244</v>
      </c>
      <c r="C13" s="55" t="s">
        <v>375</v>
      </c>
      <c r="D13" s="43" t="s">
        <v>2</v>
      </c>
      <c r="E13" s="17" t="s">
        <v>245</v>
      </c>
      <c r="F13" s="15" t="s">
        <v>242</v>
      </c>
      <c r="G13" s="18">
        <v>50</v>
      </c>
      <c r="H13" s="152"/>
    </row>
    <row r="14" spans="1:8" ht="50">
      <c r="A14" s="15" t="s">
        <v>246</v>
      </c>
      <c r="B14" s="15" t="s">
        <v>247</v>
      </c>
      <c r="C14" s="55" t="s">
        <v>376</v>
      </c>
      <c r="D14" s="43" t="s">
        <v>3</v>
      </c>
      <c r="E14" s="17" t="s">
        <v>248</v>
      </c>
      <c r="F14" s="15" t="s">
        <v>242</v>
      </c>
      <c r="G14" s="18">
        <v>50</v>
      </c>
      <c r="H14" s="152"/>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5" t="s">
        <v>507</v>
      </c>
      <c r="B68" s="145"/>
      <c r="C68" s="145"/>
      <c r="D68" s="145"/>
      <c r="E68" s="145"/>
      <c r="F68" s="145"/>
      <c r="G68" s="145"/>
      <c r="H68" s="146"/>
    </row>
    <row r="69" spans="1:9">
      <c r="A69" s="145"/>
      <c r="B69" s="145"/>
      <c r="C69" s="145"/>
      <c r="D69" s="145"/>
      <c r="E69" s="145"/>
      <c r="F69" s="145"/>
      <c r="G69" s="145"/>
      <c r="H69" s="146"/>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51"/>
      <c r="G90" s="151"/>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47" t="s">
        <v>360</v>
      </c>
      <c r="C104" s="62" t="s">
        <v>464</v>
      </c>
      <c r="D104" s="52" t="s">
        <v>91</v>
      </c>
      <c r="E104" s="153" t="s">
        <v>552</v>
      </c>
      <c r="F104" s="147" t="s">
        <v>357</v>
      </c>
      <c r="G104" s="148"/>
      <c r="H104" s="157"/>
      <c r="I104" s="6"/>
      <c r="J104" s="6"/>
      <c r="K104" s="6"/>
    </row>
    <row r="105" spans="1:11" ht="17.25" customHeight="1">
      <c r="A105" s="16" t="s">
        <v>472</v>
      </c>
      <c r="B105" s="147"/>
      <c r="C105" s="62" t="s">
        <v>470</v>
      </c>
      <c r="D105" s="52" t="s">
        <v>92</v>
      </c>
      <c r="E105" s="154"/>
      <c r="F105" s="147"/>
      <c r="G105" s="148"/>
      <c r="H105" s="157"/>
      <c r="I105" s="6"/>
      <c r="J105" s="6"/>
      <c r="K105" s="6"/>
    </row>
    <row r="106" spans="1:11" ht="17.25" customHeight="1">
      <c r="A106" s="16" t="s">
        <v>473</v>
      </c>
      <c r="B106" s="147"/>
      <c r="C106" s="62" t="s">
        <v>465</v>
      </c>
      <c r="D106" s="52" t="s">
        <v>93</v>
      </c>
      <c r="E106" s="154"/>
      <c r="F106" s="147"/>
      <c r="G106" s="148"/>
      <c r="H106" s="157"/>
      <c r="I106" s="6"/>
      <c r="J106" s="6"/>
      <c r="K106" s="6"/>
    </row>
    <row r="107" spans="1:11" ht="17.25" customHeight="1">
      <c r="A107" s="16" t="s">
        <v>474</v>
      </c>
      <c r="B107" s="147"/>
      <c r="C107" s="62" t="s">
        <v>466</v>
      </c>
      <c r="D107" s="52" t="s">
        <v>94</v>
      </c>
      <c r="E107" s="155"/>
      <c r="F107" s="147"/>
      <c r="G107" s="148"/>
      <c r="H107" s="157"/>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2025-12-31T12:57:14Z</dcterms:modified>
</cp:coreProperties>
</file>