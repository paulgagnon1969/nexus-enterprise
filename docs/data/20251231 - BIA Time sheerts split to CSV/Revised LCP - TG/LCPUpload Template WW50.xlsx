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CF8EA9D9-E1D2-4CC9-83EB-271A10ABDF2B}" xr6:coauthVersionLast="47" xr6:coauthVersionMax="47" xr10:uidLastSave="{00000000-0000-0000-0000-000000000000}"/>
  <bookViews>
    <workbookView xWindow="2863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7" i="1" l="1"/>
  <c r="L27" i="1" s="1"/>
  <c r="AK26" i="1"/>
  <c r="L26" i="1" s="1"/>
  <c r="AK4" i="1"/>
  <c r="L4" i="1" s="1"/>
  <c r="AK28" i="1"/>
  <c r="L28" i="1" s="1"/>
  <c r="AK29" i="1"/>
  <c r="L29" i="1" s="1"/>
  <c r="AK30" i="1"/>
  <c r="L30" i="1" s="1"/>
  <c r="AK31" i="1"/>
  <c r="L31" i="1" s="1"/>
  <c r="AK32" i="1"/>
  <c r="L32" i="1" s="1"/>
  <c r="AK33" i="1"/>
  <c r="L33" i="1" s="1"/>
  <c r="AK20" i="1"/>
  <c r="L20" i="1" s="1"/>
  <c r="AK21" i="1"/>
  <c r="L21" i="1" s="1"/>
  <c r="AK22" i="1"/>
  <c r="L22" i="1" s="1"/>
  <c r="AK23" i="1"/>
  <c r="L23" i="1" s="1"/>
  <c r="AK24" i="1"/>
  <c r="L24" i="1" s="1"/>
  <c r="AK25" i="1"/>
  <c r="L25" i="1" s="1"/>
  <c r="AK19" i="1"/>
  <c r="L19" i="1" s="1"/>
  <c r="AK3" i="1"/>
  <c r="L3" i="1" s="1"/>
  <c r="AK5" i="1"/>
  <c r="L5" i="1" s="1"/>
  <c r="AK6" i="1"/>
  <c r="L6" i="1" s="1"/>
  <c r="AK7" i="1"/>
  <c r="L7" i="1" s="1"/>
  <c r="AK8" i="1"/>
  <c r="L8" i="1" s="1"/>
  <c r="AK9" i="1"/>
  <c r="L9" i="1" s="1"/>
  <c r="AK10" i="1"/>
  <c r="L10" i="1" s="1"/>
  <c r="AK11" i="1"/>
  <c r="L11" i="1" s="1"/>
  <c r="AK12" i="1"/>
  <c r="L12" i="1" s="1"/>
  <c r="AK13" i="1"/>
  <c r="L13" i="1" s="1"/>
  <c r="AK14" i="1"/>
  <c r="L14" i="1" s="1"/>
  <c r="AK15" i="1"/>
  <c r="L15" i="1" s="1"/>
  <c r="AK16" i="1"/>
  <c r="L16" i="1" s="1"/>
  <c r="AK17" i="1"/>
  <c r="L17" i="1" s="1"/>
  <c r="AK18" i="1"/>
  <c r="L18" i="1" s="1"/>
  <c r="AK2" i="1"/>
  <c r="L2" i="1" s="1"/>
</calcChain>
</file>

<file path=xl/sharedStrings.xml><?xml version="1.0" encoding="utf-8"?>
<sst xmlns="http://schemas.openxmlformats.org/spreadsheetml/2006/main" count="1194" uniqueCount="712">
  <si>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</si>
  <si>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</si>
  <si>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</si>
  <si>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</si>
  <si>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</si>
  <si>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</si>
  <si>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</si>
  <si>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</si>
  <si>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</si>
  <si>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</si>
  <si>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</si>
  <si>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</si>
  <si>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</si>
  <si>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</si>
  <si>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</si>
  <si>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</si>
  <si>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</si>
  <si>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</si>
  <si>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</si>
  <si>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</si>
  <si>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</si>
  <si>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</si>
  <si>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</si>
  <si>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</si>
  <si>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</si>
  <si>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</si>
  <si>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</si>
  <si>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</si>
  <si>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</si>
  <si>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</si>
  <si>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</si>
  <si>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</si>
  <si>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</si>
  <si>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</si>
  <si>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</si>
  <si>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</si>
  <si>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</si>
  <si>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</si>
  <si>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</si>
  <si>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</si>
  <si>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</si>
  <si>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</si>
  <si>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</si>
  <si>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</si>
  <si>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</si>
  <si>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</si>
  <si>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</si>
  <si>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</si>
  <si>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</si>
  <si>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</si>
  <si>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</si>
  <si>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</si>
  <si>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</si>
  <si>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</si>
  <si>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</si>
  <si>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</si>
  <si>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</si>
  <si>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</si>
  <si>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</si>
  <si>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</si>
  <si>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</si>
  <si>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</si>
  <si>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</si>
  <si>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</si>
  <si>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</si>
  <si>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</si>
  <si>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</si>
  <si>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</si>
  <si>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</si>
  <si>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</si>
  <si>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</si>
  <si>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</si>
  <si>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</si>
  <si>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</si>
  <si>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</si>
  <si>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</si>
  <si>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</si>
  <si>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</si>
  <si>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</si>
  <si>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</si>
  <si>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</si>
  <si>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</si>
  <si>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</si>
  <si>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</si>
  <si>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</si>
  <si>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</si>
  <si>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</si>
  <si>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</si>
  <si>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</si>
  <si>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</si>
  <si>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</si>
  <si>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</si>
  <si>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</si>
  <si>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</si>
  <si>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</si>
  <si>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</si>
  <si>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</si>
  <si>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</si>
  <si>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</si>
  <si>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</si>
  <si>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</si>
  <si>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</si>
  <si>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</si>
  <si>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</si>
  <si>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</si>
  <si>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</si>
  <si>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</si>
  <si>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</si>
  <si>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</si>
  <si>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</si>
  <si>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</si>
  <si>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</si>
  <si>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</si>
  <si>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</si>
  <si>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</si>
  <si>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</si>
  <si>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</si>
  <si>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</si>
  <si>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</si>
  <si>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</si>
  <si>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</si>
  <si>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</si>
  <si>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</si>
  <si>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</si>
  <si>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</si>
  <si>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</si>
  <si>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</si>
  <si>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</si>
  <si>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</si>
  <si>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</si>
  <si>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</si>
  <si>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</si>
  <si>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</si>
  <si>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</si>
  <si>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</si>
  <si>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</si>
  <si>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</si>
  <si>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</si>
  <si>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</si>
  <si>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</si>
  <si>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</si>
  <si>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</si>
  <si>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</si>
  <si>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</si>
  <si>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</si>
  <si>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</si>
  <si>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</si>
  <si>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</si>
  <si>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</si>
  <si>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</si>
  <si>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</si>
  <si>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</si>
  <si>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</si>
  <si>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</si>
  <si>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</si>
  <si>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</si>
  <si>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</si>
  <si>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</si>
  <si>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</si>
  <si>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</si>
  <si>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</si>
  <si>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</si>
  <si>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</si>
  <si>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</si>
  <si>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</si>
  <si>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</si>
  <si>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</si>
  <si>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</si>
  <si>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</si>
  <si>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</si>
  <si>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</si>
  <si>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</si>
  <si>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</si>
  <si>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</si>
  <si>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</si>
  <si>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</si>
  <si>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</si>
  <si>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</si>
  <si>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</si>
  <si>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</si>
  <si>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</si>
  <si>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</si>
  <si>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</si>
  <si>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</si>
  <si>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</si>
  <si>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</si>
  <si>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</si>
  <si>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</si>
  <si>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</si>
  <si>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</si>
  <si>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</si>
  <si>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</si>
  <si>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</si>
  <si>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</si>
  <si>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</si>
  <si>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</si>
  <si>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</si>
  <si>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</si>
  <si>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</si>
  <si>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</si>
  <si>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</si>
  <si>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</si>
  <si>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</si>
  <si>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</si>
  <si>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</si>
  <si>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</si>
  <si>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</si>
  <si>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</si>
  <si>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</si>
  <si>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</si>
  <si>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</si>
  <si>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</si>
  <si>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</si>
  <si>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</si>
  <si>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</si>
  <si>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</si>
  <si>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</si>
  <si>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</si>
  <si>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</si>
  <si>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</si>
  <si>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</si>
  <si>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</si>
  <si>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</si>
  <si>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</si>
  <si>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</si>
  <si>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</si>
  <si>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</si>
  <si>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</si>
  <si>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</si>
  <si>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</si>
  <si>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</si>
  <si>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</si>
  <si>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</si>
  <si>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</si>
  <si>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</si>
  <si>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</si>
  <si>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</si>
  <si>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</si>
  <si>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</si>
  <si>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</si>
  <si>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</si>
  <si>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</si>
  <si>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</si>
  <si>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</si>
  <si>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</si>
  <si>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</si>
  <si>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</si>
  <si>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</si>
  <si>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</si>
  <si>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</si>
  <si>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</si>
  <si>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</si>
  <si>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</si>
  <si>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</si>
  <si>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</si>
  <si>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</si>
  <si>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</si>
  <si>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</si>
  <si>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</si>
  <si>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</si>
  <si>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</si>
  <si>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</si>
  <si>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</si>
  <si>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</si>
  <si>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</si>
  <si>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</si>
  <si>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</si>
  <si>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</si>
  <si>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</si>
  <si>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</si>
  <si>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</si>
  <si>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</si>
  <si>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</si>
  <si>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</si>
  <si>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</si>
  <si>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</si>
  <si>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</si>
  <si>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</si>
  <si>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</si>
  <si>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</si>
  <si>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</si>
  <si>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</si>
  <si>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</si>
  <si>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</si>
  <si>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</si>
  <si>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</si>
  <si>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</si>
  <si>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</si>
  <si>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</si>
  <si>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</si>
  <si>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</si>
  <si>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</si>
  <si>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</si>
  <si>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</si>
  <si>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</si>
  <si>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</si>
  <si>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</si>
  <si>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</si>
  <si>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</si>
  <si>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</si>
  <si>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</si>
  <si>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</si>
  <si>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</si>
  <si>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</si>
  <si>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</si>
  <si>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</si>
  <si>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</si>
  <si>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</si>
  <si>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</si>
  <si>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</si>
  <si>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</si>
  <si>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</si>
  <si>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</si>
  <si>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</si>
  <si>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</si>
  <si>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</si>
  <si>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</si>
  <si>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</si>
  <si>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</si>
  <si>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</si>
  <si>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</si>
  <si>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</si>
  <si>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</si>
  <si>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</si>
  <si>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</si>
  <si>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</si>
  <si>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</si>
  <si>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</si>
  <si>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</si>
  <si>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</si>
  <si>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</si>
  <si>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</si>
  <si>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</si>
  <si>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</si>
  <si>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</si>
  <si>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</si>
  <si>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</si>
  <si>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</si>
  <si>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</si>
  <si>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</si>
  <si>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</si>
  <si>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</si>
  <si>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</si>
  <si>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</si>
  <si>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</si>
  <si>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</si>
  <si>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</si>
  <si>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</si>
  <si>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</si>
  <si>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</si>
  <si>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</si>
  <si>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</si>
  <si>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</si>
  <si>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</si>
  <si>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</si>
  <si>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</si>
  <si>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</si>
  <si>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</si>
  <si>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</si>
  <si>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</si>
  <si>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</si>
  <si>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</si>
  <si>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</si>
  <si>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</si>
  <si>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</si>
  <si>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</si>
  <si>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</si>
  <si>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</si>
  <si>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</si>
  <si>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</si>
  <si>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</si>
  <si>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</si>
  <si>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</si>
  <si>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</si>
  <si>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</si>
  <si>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</si>
  <si>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</si>
  <si>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</si>
  <si>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</si>
  <si>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</si>
  <si>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</si>
  <si>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</si>
  <si>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</si>
  <si>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</si>
  <si>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</si>
  <si>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</si>
  <si>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</si>
  <si>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</si>
  <si>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</si>
  <si>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</si>
  <si>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</si>
  <si>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</si>
  <si>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</si>
  <si>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</si>
  <si>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</si>
  <si>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</si>
  <si>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</si>
  <si>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</si>
  <si>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</si>
  <si>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</si>
  <si>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</si>
  <si>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</si>
  <si>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</si>
  <si>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</si>
  <si>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</si>
  <si>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</si>
  <si>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</si>
  <si>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</si>
  <si>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</si>
  <si>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</si>
  <si>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</si>
  <si>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</si>
  <si>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</si>
  <si>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</si>
  <si>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</si>
  <si>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</si>
  <si>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</si>
  <si>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</si>
  <si>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</si>
  <si>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</si>
  <si>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</si>
  <si>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</si>
  <si>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</si>
  <si>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</si>
  <si>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</si>
  <si>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</si>
  <si>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</si>
  <si>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</si>
  <si>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</si>
  <si>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</si>
  <si>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</si>
  <si>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</si>
  <si>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</si>
  <si>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</si>
  <si>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</si>
  <si>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</si>
  <si>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</si>
  <si>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</si>
  <si>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</si>
  <si>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</si>
  <si>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</si>
  <si>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</si>
  <si>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</si>
  <si>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</si>
  <si>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</si>
  <si>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</si>
  <si>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</si>
  <si>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</si>
  <si>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</si>
  <si>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</si>
  <si>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</si>
  <si>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</si>
  <si>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</si>
  <si>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</si>
  <si>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</si>
  <si>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</si>
  <si>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</si>
  <si>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</si>
  <si>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</si>
  <si>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</si>
  <si>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</si>
  <si>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</si>
  <si>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</si>
  <si>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</si>
  <si>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</si>
  <si>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</si>
  <si>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</si>
  <si>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</si>
  <si>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</si>
  <si>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</si>
  <si>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</si>
  <si>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</si>
  <si>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</si>
  <si>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</si>
  <si>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</si>
  <si>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</si>
  <si>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</si>
  <si>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</si>
  <si>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</si>
  <si>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</si>
  <si>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</si>
  <si>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</si>
  <si>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</si>
  <si>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</si>
  <si>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</si>
  <si>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</si>
  <si>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</si>
  <si>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</si>
  <si>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</si>
  <si>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</si>
  <si>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</si>
  <si>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</si>
  <si>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</si>
  <si>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</si>
  <si>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</si>
  <si>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</si>
  <si>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</si>
  <si>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</si>
  <si>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</si>
  <si>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</si>
  <si>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</si>
  <si>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</si>
  <si>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</si>
  <si>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</si>
  <si>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</si>
  <si>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</si>
  <si>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</si>
  <si>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</si>
  <si>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</si>
  <si>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</si>
  <si>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</si>
  <si>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</si>
  <si>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</si>
  <si>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</si>
  <si>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</si>
  <si>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</si>
  <si>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</si>
  <si>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</si>
  <si>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</si>
  <si>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</si>
  <si>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</si>
  <si>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</si>
  <si>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</si>
  <si>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</si>
  <si>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</si>
  <si>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</si>
  <si>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</si>
  <si>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</si>
  <si>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</si>
  <si>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</si>
  <si>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</si>
  <si>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</si>
  <si>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</si>
  <si>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</si>
  <si>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</si>
  <si>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</si>
  <si>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</si>
  <si>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</si>
  <si>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</si>
  <si>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</si>
  <si>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</si>
  <si>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</si>
  <si>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</si>
  <si>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</si>
  <si>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</si>
  <si>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</si>
  <si>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</si>
  <si>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</si>
  <si>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</si>
  <si>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</si>
  <si>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</si>
  <si>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</si>
  <si>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</si>
  <si>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</si>
  <si>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</si>
  <si>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</si>
  <si>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</si>
  <si>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</si>
  <si>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</si>
  <si>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</si>
  <si>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</si>
  <si>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</si>
  <si>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</si>
  <si>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</si>
  <si>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</si>
  <si>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</si>
  <si>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</si>
  <si>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</si>
  <si>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</si>
  <si>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</si>
  <si>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</si>
  <si>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</si>
  <si>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</si>
  <si>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</si>
  <si>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Cantrail</t>
  </si>
  <si>
    <t>Whitesheep</t>
  </si>
  <si>
    <t>Yazzie</t>
  </si>
  <si>
    <t>Raqhuan</t>
  </si>
  <si>
    <t>Francis</t>
  </si>
  <si>
    <t>Shaun</t>
  </si>
  <si>
    <t>Gene</t>
  </si>
  <si>
    <t>Dwight</t>
  </si>
  <si>
    <t>Lee</t>
  </si>
  <si>
    <t>Vazquez</t>
  </si>
  <si>
    <t>Gabriel</t>
  </si>
  <si>
    <t>CCT</t>
  </si>
  <si>
    <t>522-51-9108</t>
  </si>
  <si>
    <t>781-19-9970</t>
  </si>
  <si>
    <t>601-25-1083</t>
  </si>
  <si>
    <t>642-67-8860</t>
  </si>
  <si>
    <t>979-94-6657</t>
  </si>
  <si>
    <t>962-96-5371</t>
  </si>
  <si>
    <t>752-03-0933</t>
  </si>
  <si>
    <t>851-31-8095</t>
  </si>
  <si>
    <t>885-54-1224</t>
  </si>
  <si>
    <t>618-88-0902</t>
  </si>
  <si>
    <t>585-76-9867</t>
  </si>
  <si>
    <t>600-20-6371</t>
  </si>
  <si>
    <t>600-60-5154</t>
  </si>
  <si>
    <t>765-12-6367</t>
  </si>
  <si>
    <t>601-97-9043</t>
  </si>
  <si>
    <t>600-51-2936</t>
  </si>
  <si>
    <t>613-46-4710</t>
  </si>
  <si>
    <t>600-99-9927</t>
  </si>
  <si>
    <t>Bernardo</t>
  </si>
  <si>
    <t>Aurora</t>
  </si>
  <si>
    <t>720-933-9706</t>
  </si>
  <si>
    <t>7340 Daking St</t>
  </si>
  <si>
    <t>Denver</t>
  </si>
  <si>
    <t>983-216-3671</t>
  </si>
  <si>
    <t>214-256-8284</t>
  </si>
  <si>
    <t>Many Farms</t>
  </si>
  <si>
    <t>928-410-9711</t>
  </si>
  <si>
    <t>Chinle</t>
  </si>
  <si>
    <t>928-429-7612</t>
  </si>
  <si>
    <t>928-663-8642</t>
  </si>
  <si>
    <t>928-313-9171</t>
  </si>
  <si>
    <t>505-329-4706</t>
  </si>
  <si>
    <t>ACH</t>
  </si>
  <si>
    <t>John</t>
  </si>
  <si>
    <t>Palmer</t>
  </si>
  <si>
    <t>Supervisor</t>
  </si>
  <si>
    <t>Anthony</t>
  </si>
  <si>
    <t>765-10-3882</t>
  </si>
  <si>
    <t>4041 S Quemoy Way</t>
  </si>
  <si>
    <t>N/A</t>
  </si>
  <si>
    <t>Barragan</t>
  </si>
  <si>
    <t>Jair</t>
  </si>
  <si>
    <t>Foreman</t>
  </si>
  <si>
    <t>Carpenter</t>
  </si>
  <si>
    <t>Laborer</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</si>
  <si>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</si>
  <si>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</si>
  <si>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</si>
  <si>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</si>
  <si>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</si>
  <si>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</si>
  <si>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</si>
  <si>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</si>
  <si>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</si>
  <si>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</si>
  <si>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</si>
  <si>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</si>
  <si>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</si>
  <si>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</si>
  <si>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</si>
  <si>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</si>
  <si>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 xml:space="preserve">PO BOX 3051 </t>
  </si>
  <si>
    <t>PO BOX 948</t>
  </si>
  <si>
    <t>PO BOX 804</t>
  </si>
  <si>
    <t>PO BOX 3585</t>
  </si>
  <si>
    <t>NM</t>
  </si>
  <si>
    <t>Tyler</t>
  </si>
  <si>
    <t>Gagnon</t>
  </si>
  <si>
    <t>Jonn</t>
  </si>
  <si>
    <t>080-76-1651</t>
  </si>
  <si>
    <t>080-76-1650</t>
  </si>
  <si>
    <t>3341 Bluestem St</t>
  </si>
  <si>
    <t>Dacono</t>
  </si>
  <si>
    <t>512-750-1921</t>
  </si>
  <si>
    <t>512-656-7059</t>
  </si>
  <si>
    <t>Mesa View NHA HSG #16</t>
  </si>
  <si>
    <t>Rodriguez</t>
  </si>
  <si>
    <t>Ruelas</t>
  </si>
  <si>
    <t>Enrique</t>
  </si>
  <si>
    <t xml:space="preserve">271 Camino La Pasida </t>
  </si>
  <si>
    <t>Rio Rico</t>
  </si>
  <si>
    <t>408-693-5637</t>
  </si>
  <si>
    <t>928-405-2435</t>
  </si>
  <si>
    <t>602-702-6451</t>
  </si>
  <si>
    <t>55 667-207-1629</t>
  </si>
  <si>
    <t>505-906-1007</t>
  </si>
  <si>
    <t>195 Concord Dr.</t>
  </si>
  <si>
    <t>3017 W Almeria Rd</t>
  </si>
  <si>
    <t xml:space="preserve">PO box 7198 </t>
  </si>
  <si>
    <t xml:space="preserve">329 1/2 E Jefferson St </t>
  </si>
  <si>
    <t>Tucson</t>
  </si>
  <si>
    <t>Gallup</t>
  </si>
  <si>
    <t>Sedona</t>
  </si>
  <si>
    <t>Phoenix</t>
  </si>
  <si>
    <t>Big Bear Lake</t>
  </si>
  <si>
    <t>Juan</t>
  </si>
  <si>
    <t>Felix</t>
  </si>
  <si>
    <t>922-76-2151</t>
  </si>
  <si>
    <t xml:space="preserve">816 W President St </t>
  </si>
  <si>
    <t>520-272-2431</t>
  </si>
  <si>
    <t>Francisco</t>
  </si>
  <si>
    <t>Moreno</t>
  </si>
  <si>
    <t>570-44-5545</t>
  </si>
  <si>
    <t xml:space="preserve">901 W Michigan St </t>
  </si>
  <si>
    <t>520-307-0688</t>
  </si>
  <si>
    <t>Martinez</t>
  </si>
  <si>
    <t>Joel</t>
  </si>
  <si>
    <t>Ortiz</t>
  </si>
  <si>
    <t>Edgar</t>
  </si>
  <si>
    <t>Diego</t>
  </si>
  <si>
    <t>Mendosa</t>
  </si>
  <si>
    <t>622-12-0728</t>
  </si>
  <si>
    <t>600-35-3996</t>
  </si>
  <si>
    <t>178-94-0729</t>
  </si>
  <si>
    <t>204-39-4773</t>
  </si>
  <si>
    <t>602-725-7148</t>
  </si>
  <si>
    <t>480-469-4389</t>
  </si>
  <si>
    <t>480-843-3999</t>
  </si>
  <si>
    <t>602-672-1220</t>
  </si>
  <si>
    <t>7422 W Florence Ave Phoenix AZ 85043</t>
  </si>
  <si>
    <t>3017 W Almeria Rd Phoenix AZ 85009</t>
  </si>
  <si>
    <t>4630 N78th Ave Phoenix AZ 85033</t>
  </si>
  <si>
    <t>812-07-5672</t>
  </si>
  <si>
    <t>602-581-2295</t>
  </si>
  <si>
    <t xml:space="preserve">8080 N 51st Ave apt #207 </t>
  </si>
  <si>
    <t>Glendale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</si>
</sst>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66">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14" xfId="0" applyFont="1" applyBorder="1" applyAlignment="1">
      <alignment vertical="center"/>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xf numFmtId="0" fontId="32" fillId="22" borderId="15" xfId="0" applyFont="1" applyFill="1" applyBorder="1" applyAlignment="1">
      <alignment horizontal="right" wrapText="1"/>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2" borderId="15" xfId="0" applyFont="1" applyFill="1" applyBorder="1" applyAlignment="1">
      <alignment wrapText="1"/>
    </xf>
    <xf numFmtId="0" fontId="32" fillId="21" borderId="15"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1" borderId="15" xfId="0" applyFont="1" applyFill="1" applyBorder="1" applyAlignment="1">
      <alignment horizontal="right" wrapText="1"/>
    </xf>
    <xf numFmtId="0" fontId="32" fillId="11" borderId="14" xfId="0" applyFont="1" applyFill="1" applyBorder="1" applyAlignment="1">
      <alignment vertical="top" wrapText="1"/>
    </xf>
    <xf numFmtId="0" fontId="2" fillId="0" borderId="0" xfId="0" applyFont="1" applyFill="1"/>
    <xf numFmtId="0" fontId="2" fillId="0" borderId="0" xfId="0" applyFont="1" applyFill="1" applyAlignment="1">
      <alignment wrapText="1"/>
    </xf>
    <xf numFmtId="14" fontId="2" fillId="0" borderId="0" xfId="0" applyNumberFormat="1" applyFont="1" applyFill="1"/>
    <xf numFmtId="0" fontId="2" fillId="0" borderId="0" xfId="0" applyFont="1" applyFill="1" applyAlignment="1">
      <alignment horizontal="left"/>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76"/>
  <sheetViews>
    <sheetView tabSelected="1" zoomScale="62" workbookViewId="0">
      <selection activeCell="U40" sqref="U40"/>
    </sheetView>
  </sheetViews>
  <sheetFormatPr defaultColWidth="9" defaultRowHeight="12.5" x14ac:dyDescent="0.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5.54296875" style="3" bestFit="1"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4.8164062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x14ac:dyDescent="0.4">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x14ac:dyDescent="0.3">
      <c r="B2" s="3" t="s">
        <v>559</v>
      </c>
      <c r="E2" s="117">
        <v>46002</v>
      </c>
      <c r="F2" s="3" t="s">
        <v>618</v>
      </c>
      <c r="G2" s="119" t="s">
        <v>652</v>
      </c>
      <c r="H2" s="119" t="s">
        <v>653</v>
      </c>
      <c r="I2" s="3" t="s">
        <v>655</v>
      </c>
      <c r="K2" s="3" t="s">
        <v>621</v>
      </c>
      <c r="L2" s="3">
        <f>AK2*BC2</f>
        <v>800</v>
      </c>
      <c r="P2" s="156"/>
      <c r="Q2" s="155"/>
      <c r="R2" s="155"/>
      <c r="S2" s="154">
        <v>10</v>
      </c>
      <c r="T2" s="154">
        <v>10</v>
      </c>
      <c r="U2" s="154">
        <v>10</v>
      </c>
      <c r="V2" s="154">
        <v>10</v>
      </c>
      <c r="AK2" s="3">
        <f>SUM(P2:V2)</f>
        <v>40</v>
      </c>
      <c r="AS2" s="3">
        <v>0</v>
      </c>
      <c r="AT2" s="3">
        <v>0</v>
      </c>
      <c r="AU2" s="3">
        <v>0</v>
      </c>
      <c r="AV2" s="3">
        <v>0</v>
      </c>
      <c r="AW2" s="3">
        <v>0</v>
      </c>
      <c r="AX2" s="3">
        <v>0</v>
      </c>
      <c r="AY2" s="3">
        <v>0</v>
      </c>
      <c r="AZ2" s="3">
        <v>0</v>
      </c>
      <c r="BA2" s="3">
        <v>0</v>
      </c>
      <c r="BC2" s="3">
        <v>20</v>
      </c>
      <c r="BD2" s="3" t="s">
        <v>625</v>
      </c>
      <c r="BE2" s="3" t="s">
        <v>625</v>
      </c>
      <c r="BH2" s="3" t="s">
        <v>652</v>
      </c>
      <c r="BI2" s="3" t="s">
        <v>653</v>
      </c>
      <c r="BJ2" s="3" t="s">
        <v>657</v>
      </c>
      <c r="BL2" s="3" t="s">
        <v>658</v>
      </c>
      <c r="BM2" s="3" t="s">
        <v>470</v>
      </c>
      <c r="BN2" s="3">
        <v>80514</v>
      </c>
      <c r="BO2" s="3" t="s">
        <v>659</v>
      </c>
    </row>
    <row r="3" spans="1:104" ht="25.5" thickBot="1" x14ac:dyDescent="0.3">
      <c r="B3" s="3" t="s">
        <v>559</v>
      </c>
      <c r="E3" s="117">
        <v>46002</v>
      </c>
      <c r="F3" s="3" t="s">
        <v>618</v>
      </c>
      <c r="G3" s="119" t="s">
        <v>654</v>
      </c>
      <c r="H3" s="119" t="s">
        <v>653</v>
      </c>
      <c r="I3" s="126" t="s">
        <v>656</v>
      </c>
      <c r="K3" s="125" t="s">
        <v>621</v>
      </c>
      <c r="L3" s="3">
        <f t="shared" ref="L3:L18" si="0">AK3*BC3</f>
        <v>200</v>
      </c>
      <c r="P3" s="157"/>
      <c r="Q3" s="158"/>
      <c r="R3" s="158"/>
      <c r="S3" s="159">
        <v>10</v>
      </c>
      <c r="T3" s="158"/>
      <c r="U3" s="158"/>
      <c r="V3" s="158"/>
      <c r="AK3" s="3">
        <f t="shared" ref="AK3:AK18" si="1">SUM(P3:V3)</f>
        <v>10</v>
      </c>
      <c r="AS3" s="3">
        <v>0</v>
      </c>
      <c r="AT3" s="3">
        <v>0</v>
      </c>
      <c r="AU3" s="3">
        <v>0</v>
      </c>
      <c r="AV3" s="3">
        <v>0</v>
      </c>
      <c r="AW3" s="3">
        <v>0</v>
      </c>
      <c r="AX3" s="3">
        <v>0</v>
      </c>
      <c r="AY3" s="3">
        <v>0</v>
      </c>
      <c r="AZ3" s="3">
        <v>0</v>
      </c>
      <c r="BA3" s="3">
        <v>0</v>
      </c>
      <c r="BC3" s="3">
        <v>20</v>
      </c>
      <c r="BD3" s="3" t="s">
        <v>625</v>
      </c>
      <c r="BE3" s="3" t="s">
        <v>625</v>
      </c>
      <c r="BH3" s="3" t="s">
        <v>654</v>
      </c>
      <c r="BI3" s="3" t="s">
        <v>653</v>
      </c>
      <c r="BJ3" s="3" t="s">
        <v>657</v>
      </c>
      <c r="BL3" s="3" t="s">
        <v>658</v>
      </c>
      <c r="BM3" s="3" t="s">
        <v>470</v>
      </c>
      <c r="BN3" s="3">
        <v>80514</v>
      </c>
      <c r="BO3" s="126" t="s">
        <v>660</v>
      </c>
    </row>
    <row r="4" spans="1:104" ht="13" thickBot="1" x14ac:dyDescent="0.3">
      <c r="B4" s="3" t="s">
        <v>559</v>
      </c>
      <c r="E4" s="117">
        <v>46002</v>
      </c>
      <c r="F4" s="3" t="s">
        <v>618</v>
      </c>
      <c r="G4" s="119" t="s">
        <v>619</v>
      </c>
      <c r="H4" s="119" t="s">
        <v>620</v>
      </c>
      <c r="I4" s="128"/>
      <c r="K4" s="3" t="s">
        <v>621</v>
      </c>
      <c r="L4" s="3">
        <f t="shared" si="0"/>
        <v>370</v>
      </c>
      <c r="P4" s="153">
        <v>10</v>
      </c>
      <c r="Q4" s="154">
        <v>8.5</v>
      </c>
      <c r="R4" s="155"/>
      <c r="S4" s="155"/>
      <c r="T4" s="155"/>
      <c r="U4" s="155"/>
      <c r="V4" s="155"/>
      <c r="AK4" s="3">
        <f t="shared" si="1"/>
        <v>18.5</v>
      </c>
      <c r="AS4" s="3">
        <v>0</v>
      </c>
      <c r="AT4" s="3">
        <v>0</v>
      </c>
      <c r="AU4" s="3">
        <v>0</v>
      </c>
      <c r="AV4" s="3">
        <v>0</v>
      </c>
      <c r="AW4" s="3">
        <v>0</v>
      </c>
      <c r="AX4" s="3">
        <v>0</v>
      </c>
      <c r="AY4" s="3">
        <v>0</v>
      </c>
      <c r="AZ4" s="3">
        <v>0</v>
      </c>
      <c r="BA4" s="3">
        <v>0</v>
      </c>
      <c r="BC4" s="3">
        <v>20</v>
      </c>
      <c r="BD4" s="3" t="s">
        <v>625</v>
      </c>
      <c r="BE4" s="3" t="s">
        <v>625</v>
      </c>
      <c r="BH4" s="3" t="s">
        <v>619</v>
      </c>
      <c r="BI4" s="3" t="s">
        <v>620</v>
      </c>
      <c r="BJ4" s="128"/>
      <c r="BK4" s="128"/>
      <c r="BL4" s="128"/>
      <c r="BM4" s="128"/>
      <c r="BN4" s="128"/>
      <c r="BO4" s="128"/>
    </row>
    <row r="5" spans="1:104" ht="25.5" thickBot="1" x14ac:dyDescent="0.3">
      <c r="B5" s="3" t="s">
        <v>559</v>
      </c>
      <c r="E5" s="117">
        <v>46002</v>
      </c>
      <c r="F5" s="3" t="s">
        <v>618</v>
      </c>
      <c r="G5" s="119" t="s">
        <v>560</v>
      </c>
      <c r="H5" s="119" t="s">
        <v>561</v>
      </c>
      <c r="I5" s="126" t="s">
        <v>586</v>
      </c>
      <c r="K5" s="125" t="s">
        <v>628</v>
      </c>
      <c r="L5" s="3">
        <f t="shared" si="0"/>
        <v>2047.5</v>
      </c>
      <c r="P5" s="153">
        <v>10</v>
      </c>
      <c r="Q5" s="154">
        <v>8.5</v>
      </c>
      <c r="R5" s="155"/>
      <c r="S5" s="154">
        <v>10</v>
      </c>
      <c r="T5" s="154">
        <v>10</v>
      </c>
      <c r="U5" s="154">
        <v>10</v>
      </c>
      <c r="V5" s="154">
        <v>10</v>
      </c>
      <c r="AK5" s="3">
        <f t="shared" si="1"/>
        <v>58.5</v>
      </c>
      <c r="AS5" s="3">
        <v>0</v>
      </c>
      <c r="AT5" s="3">
        <v>0</v>
      </c>
      <c r="AU5" s="3">
        <v>0</v>
      </c>
      <c r="AV5" s="3">
        <v>0</v>
      </c>
      <c r="AW5" s="3">
        <v>0</v>
      </c>
      <c r="AX5" s="3">
        <v>0</v>
      </c>
      <c r="AY5" s="3">
        <v>0</v>
      </c>
      <c r="AZ5" s="3">
        <v>0</v>
      </c>
      <c r="BA5" s="3">
        <v>0</v>
      </c>
      <c r="BC5" s="3">
        <v>35</v>
      </c>
      <c r="BD5" s="3" t="s">
        <v>625</v>
      </c>
      <c r="BE5" s="3" t="s">
        <v>625</v>
      </c>
      <c r="BG5" s="3" t="s">
        <v>386</v>
      </c>
      <c r="BH5" s="3" t="s">
        <v>560</v>
      </c>
      <c r="BI5" s="3" t="s">
        <v>561</v>
      </c>
      <c r="BJ5" s="120" t="s">
        <v>624</v>
      </c>
      <c r="BL5" s="3" t="s">
        <v>605</v>
      </c>
      <c r="BM5" s="3" t="s">
        <v>470</v>
      </c>
      <c r="BN5" s="3">
        <v>80018</v>
      </c>
      <c r="BO5" s="126" t="s">
        <v>606</v>
      </c>
    </row>
    <row r="6" spans="1:104" ht="25.5" thickBot="1" x14ac:dyDescent="0.3">
      <c r="B6" s="3" t="s">
        <v>559</v>
      </c>
      <c r="E6" s="117">
        <v>46002</v>
      </c>
      <c r="F6" s="3" t="s">
        <v>618</v>
      </c>
      <c r="G6" s="119" t="s">
        <v>562</v>
      </c>
      <c r="H6" s="119" t="s">
        <v>626</v>
      </c>
      <c r="I6" s="127" t="s">
        <v>590</v>
      </c>
      <c r="K6" s="125" t="s">
        <v>629</v>
      </c>
      <c r="L6" s="3">
        <f t="shared" si="0"/>
        <v>2047.5</v>
      </c>
      <c r="P6" s="160">
        <v>10</v>
      </c>
      <c r="Q6" s="159">
        <v>8.5</v>
      </c>
      <c r="R6" s="158"/>
      <c r="S6" s="159">
        <v>10</v>
      </c>
      <c r="T6" s="159">
        <v>10</v>
      </c>
      <c r="U6" s="159">
        <v>10</v>
      </c>
      <c r="V6" s="159">
        <v>10</v>
      </c>
      <c r="AK6" s="3">
        <f t="shared" si="1"/>
        <v>58.5</v>
      </c>
      <c r="AS6" s="3">
        <v>0</v>
      </c>
      <c r="AT6" s="3">
        <v>0</v>
      </c>
      <c r="AU6" s="3">
        <v>0</v>
      </c>
      <c r="AV6" s="3">
        <v>0</v>
      </c>
      <c r="AW6" s="3">
        <v>0</v>
      </c>
      <c r="AX6" s="3">
        <v>0</v>
      </c>
      <c r="AY6" s="3">
        <v>0</v>
      </c>
      <c r="AZ6" s="3">
        <v>0</v>
      </c>
      <c r="BA6" s="3">
        <v>0</v>
      </c>
      <c r="BC6" s="3">
        <v>35</v>
      </c>
      <c r="BD6" s="3" t="s">
        <v>625</v>
      </c>
      <c r="BE6" s="3" t="s">
        <v>625</v>
      </c>
      <c r="BH6" s="3" t="s">
        <v>562</v>
      </c>
      <c r="BI6" s="3" t="s">
        <v>626</v>
      </c>
      <c r="BJ6" s="126" t="s">
        <v>607</v>
      </c>
      <c r="BL6" s="3" t="s">
        <v>608</v>
      </c>
      <c r="BM6" s="3" t="s">
        <v>470</v>
      </c>
      <c r="BN6" s="3">
        <v>80221</v>
      </c>
      <c r="BO6" s="126" t="s">
        <v>609</v>
      </c>
    </row>
    <row r="7" spans="1:104" ht="25.5" thickBot="1" x14ac:dyDescent="0.3">
      <c r="B7" s="3" t="s">
        <v>559</v>
      </c>
      <c r="E7" s="117">
        <v>46002</v>
      </c>
      <c r="F7" s="3" t="s">
        <v>618</v>
      </c>
      <c r="G7" s="119" t="s">
        <v>563</v>
      </c>
      <c r="H7" s="119" t="s">
        <v>626</v>
      </c>
      <c r="I7" s="127" t="s">
        <v>589</v>
      </c>
      <c r="K7" s="125" t="s">
        <v>629</v>
      </c>
      <c r="L7" s="3">
        <f t="shared" si="0"/>
        <v>1925</v>
      </c>
      <c r="P7" s="153">
        <v>10</v>
      </c>
      <c r="Q7" s="154">
        <v>8.5</v>
      </c>
      <c r="R7" s="155"/>
      <c r="S7" s="154">
        <v>10</v>
      </c>
      <c r="T7" s="154">
        <v>6.5</v>
      </c>
      <c r="U7" s="154">
        <v>10</v>
      </c>
      <c r="V7" s="154">
        <v>10</v>
      </c>
      <c r="AK7" s="3">
        <f t="shared" si="1"/>
        <v>55</v>
      </c>
      <c r="AS7" s="3">
        <v>0</v>
      </c>
      <c r="AT7" s="3">
        <v>0</v>
      </c>
      <c r="AU7" s="3">
        <v>0</v>
      </c>
      <c r="AV7" s="3">
        <v>0</v>
      </c>
      <c r="AW7" s="3">
        <v>0</v>
      </c>
      <c r="AX7" s="3">
        <v>0</v>
      </c>
      <c r="AY7" s="3">
        <v>0</v>
      </c>
      <c r="AZ7" s="3">
        <v>0</v>
      </c>
      <c r="BA7" s="3">
        <v>0</v>
      </c>
      <c r="BC7" s="3">
        <v>35</v>
      </c>
      <c r="BD7" s="3" t="s">
        <v>625</v>
      </c>
      <c r="BE7" s="3" t="s">
        <v>625</v>
      </c>
      <c r="BH7" s="3" t="s">
        <v>563</v>
      </c>
      <c r="BI7" s="3" t="s">
        <v>626</v>
      </c>
      <c r="BJ7" s="126" t="s">
        <v>607</v>
      </c>
      <c r="BL7" s="3" t="s">
        <v>608</v>
      </c>
      <c r="BM7" s="3" t="s">
        <v>470</v>
      </c>
      <c r="BN7" s="3">
        <v>80221</v>
      </c>
      <c r="BO7" s="126" t="s">
        <v>610</v>
      </c>
    </row>
    <row r="8" spans="1:104" ht="25.5" thickBot="1" x14ac:dyDescent="0.3">
      <c r="B8" s="3" t="s">
        <v>559</v>
      </c>
      <c r="E8" s="117">
        <v>46002</v>
      </c>
      <c r="F8" s="3" t="s">
        <v>618</v>
      </c>
      <c r="G8" s="119" t="s">
        <v>566</v>
      </c>
      <c r="H8" s="119" t="s">
        <v>567</v>
      </c>
      <c r="I8" s="125" t="s">
        <v>591</v>
      </c>
      <c r="K8" s="125" t="s">
        <v>628</v>
      </c>
      <c r="L8" s="3">
        <f t="shared" si="0"/>
        <v>1907.5</v>
      </c>
      <c r="P8" s="160">
        <v>10</v>
      </c>
      <c r="Q8" s="159">
        <v>8.5</v>
      </c>
      <c r="R8" s="158"/>
      <c r="S8" s="159">
        <v>10</v>
      </c>
      <c r="T8" s="159">
        <v>6</v>
      </c>
      <c r="U8" s="159">
        <v>10</v>
      </c>
      <c r="V8" s="159">
        <v>10</v>
      </c>
      <c r="AK8" s="3">
        <f t="shared" si="1"/>
        <v>54.5</v>
      </c>
      <c r="AS8" s="3">
        <v>0</v>
      </c>
      <c r="AT8" s="3">
        <v>0</v>
      </c>
      <c r="AU8" s="3">
        <v>0</v>
      </c>
      <c r="AV8" s="3">
        <v>0</v>
      </c>
      <c r="AW8" s="3">
        <v>0</v>
      </c>
      <c r="AX8" s="3">
        <v>0</v>
      </c>
      <c r="AY8" s="3">
        <v>0</v>
      </c>
      <c r="AZ8" s="3">
        <v>0</v>
      </c>
      <c r="BA8" s="3">
        <v>0</v>
      </c>
      <c r="BC8" s="3">
        <v>35</v>
      </c>
      <c r="BD8" s="3" t="s">
        <v>625</v>
      </c>
      <c r="BE8" s="3" t="s">
        <v>625</v>
      </c>
      <c r="BH8" s="3" t="s">
        <v>566</v>
      </c>
      <c r="BI8" s="3" t="s">
        <v>567</v>
      </c>
      <c r="BJ8" s="125" t="s">
        <v>637</v>
      </c>
      <c r="BL8" s="3" t="s">
        <v>638</v>
      </c>
      <c r="BM8" s="3" t="s">
        <v>639</v>
      </c>
      <c r="BN8" s="3">
        <v>39540</v>
      </c>
      <c r="BO8" s="125" t="s">
        <v>631</v>
      </c>
    </row>
    <row r="9" spans="1:104" ht="25.5" thickBot="1" x14ac:dyDescent="0.3">
      <c r="B9" s="3" t="s">
        <v>559</v>
      </c>
      <c r="E9" s="117">
        <v>46002</v>
      </c>
      <c r="F9" s="3" t="s">
        <v>618</v>
      </c>
      <c r="G9" s="119" t="s">
        <v>568</v>
      </c>
      <c r="H9" s="119" t="s">
        <v>567</v>
      </c>
      <c r="I9" s="125" t="s">
        <v>592</v>
      </c>
      <c r="K9" s="125" t="s">
        <v>630</v>
      </c>
      <c r="L9" s="3">
        <f t="shared" si="0"/>
        <v>1228.5</v>
      </c>
      <c r="P9" s="153">
        <v>10</v>
      </c>
      <c r="Q9" s="154">
        <v>8.5</v>
      </c>
      <c r="R9" s="155"/>
      <c r="S9" s="154">
        <v>10</v>
      </c>
      <c r="T9" s="154">
        <v>10</v>
      </c>
      <c r="U9" s="154">
        <v>10</v>
      </c>
      <c r="V9" s="154">
        <v>10</v>
      </c>
      <c r="AK9" s="3">
        <f t="shared" si="1"/>
        <v>58.5</v>
      </c>
      <c r="AS9" s="3">
        <v>0</v>
      </c>
      <c r="AT9" s="3">
        <v>0</v>
      </c>
      <c r="AU9" s="3">
        <v>0</v>
      </c>
      <c r="AV9" s="3">
        <v>0</v>
      </c>
      <c r="AW9" s="3">
        <v>0</v>
      </c>
      <c r="AX9" s="3">
        <v>0</v>
      </c>
      <c r="AY9" s="3">
        <v>0</v>
      </c>
      <c r="AZ9" s="3">
        <v>0</v>
      </c>
      <c r="BA9" s="3">
        <v>0</v>
      </c>
      <c r="BC9" s="3">
        <v>21</v>
      </c>
      <c r="BD9" s="3" t="s">
        <v>625</v>
      </c>
      <c r="BE9" s="3" t="s">
        <v>625</v>
      </c>
      <c r="BH9" s="3" t="s">
        <v>568</v>
      </c>
      <c r="BI9" s="3" t="s">
        <v>567</v>
      </c>
      <c r="BJ9" s="125" t="s">
        <v>644</v>
      </c>
      <c r="BL9" s="3" t="s">
        <v>640</v>
      </c>
      <c r="BM9" s="3" t="s">
        <v>639</v>
      </c>
      <c r="BN9" s="3">
        <v>39530</v>
      </c>
      <c r="BO9" s="125" t="s">
        <v>632</v>
      </c>
    </row>
    <row r="10" spans="1:104" ht="25.5" thickBot="1" x14ac:dyDescent="0.3">
      <c r="B10" s="3" t="s">
        <v>559</v>
      </c>
      <c r="E10" s="117">
        <v>46002</v>
      </c>
      <c r="F10" s="3" t="s">
        <v>618</v>
      </c>
      <c r="G10" s="119" t="s">
        <v>627</v>
      </c>
      <c r="H10" s="119" t="s">
        <v>570</v>
      </c>
      <c r="I10" s="125" t="s">
        <v>594</v>
      </c>
      <c r="K10" s="125" t="s">
        <v>629</v>
      </c>
      <c r="L10" s="3">
        <f t="shared" si="0"/>
        <v>1404</v>
      </c>
      <c r="P10" s="160">
        <v>10</v>
      </c>
      <c r="Q10" s="159">
        <v>8.5</v>
      </c>
      <c r="R10" s="158"/>
      <c r="S10" s="159">
        <v>10</v>
      </c>
      <c r="T10" s="159">
        <v>10</v>
      </c>
      <c r="U10" s="159">
        <v>10</v>
      </c>
      <c r="V10" s="159">
        <v>10</v>
      </c>
      <c r="AK10" s="3">
        <f t="shared" si="1"/>
        <v>58.5</v>
      </c>
      <c r="AS10" s="3">
        <v>0</v>
      </c>
      <c r="AT10" s="3">
        <v>0</v>
      </c>
      <c r="AU10" s="3">
        <v>0</v>
      </c>
      <c r="AV10" s="3">
        <v>0</v>
      </c>
      <c r="AW10" s="3">
        <v>0</v>
      </c>
      <c r="AX10" s="3">
        <v>0</v>
      </c>
      <c r="AY10" s="3">
        <v>0</v>
      </c>
      <c r="AZ10" s="3">
        <v>0</v>
      </c>
      <c r="BA10" s="3">
        <v>0</v>
      </c>
      <c r="BC10" s="3">
        <v>24</v>
      </c>
      <c r="BD10" s="3" t="s">
        <v>625</v>
      </c>
      <c r="BE10" s="3" t="s">
        <v>625</v>
      </c>
      <c r="BH10" s="3" t="s">
        <v>627</v>
      </c>
      <c r="BI10" s="3" t="s">
        <v>570</v>
      </c>
      <c r="BJ10" s="125" t="s">
        <v>644</v>
      </c>
      <c r="BL10" s="3" t="s">
        <v>640</v>
      </c>
      <c r="BM10" s="3" t="s">
        <v>639</v>
      </c>
      <c r="BN10" s="3">
        <v>39530</v>
      </c>
      <c r="BO10" s="125" t="s">
        <v>633</v>
      </c>
    </row>
    <row r="11" spans="1:104" ht="25.5" thickBot="1" x14ac:dyDescent="0.3">
      <c r="B11" s="3" t="s">
        <v>559</v>
      </c>
      <c r="E11" s="117">
        <v>46002</v>
      </c>
      <c r="F11" s="3" t="s">
        <v>618</v>
      </c>
      <c r="G11" s="119" t="s">
        <v>563</v>
      </c>
      <c r="H11" s="119" t="s">
        <v>569</v>
      </c>
      <c r="I11" s="125" t="s">
        <v>593</v>
      </c>
      <c r="K11" s="125" t="s">
        <v>630</v>
      </c>
      <c r="L11" s="3">
        <f t="shared" si="0"/>
        <v>1228.5</v>
      </c>
      <c r="P11" s="153">
        <v>10</v>
      </c>
      <c r="Q11" s="154">
        <v>8.5</v>
      </c>
      <c r="R11" s="155"/>
      <c r="S11" s="154">
        <v>10</v>
      </c>
      <c r="T11" s="154">
        <v>10</v>
      </c>
      <c r="U11" s="154">
        <v>10</v>
      </c>
      <c r="V11" s="154">
        <v>10</v>
      </c>
      <c r="AK11" s="3">
        <f t="shared" si="1"/>
        <v>58.5</v>
      </c>
      <c r="AS11" s="3">
        <v>0</v>
      </c>
      <c r="AT11" s="3">
        <v>0</v>
      </c>
      <c r="AU11" s="3">
        <v>0</v>
      </c>
      <c r="AV11" s="3">
        <v>0</v>
      </c>
      <c r="AW11" s="3">
        <v>0</v>
      </c>
      <c r="AX11" s="3">
        <v>0</v>
      </c>
      <c r="AY11" s="3">
        <v>0</v>
      </c>
      <c r="AZ11" s="3">
        <v>0</v>
      </c>
      <c r="BA11" s="3">
        <v>0</v>
      </c>
      <c r="BC11" s="3">
        <v>21</v>
      </c>
      <c r="BD11" s="3" t="s">
        <v>625</v>
      </c>
      <c r="BE11" s="3" t="s">
        <v>625</v>
      </c>
      <c r="BH11" s="3" t="s">
        <v>563</v>
      </c>
      <c r="BI11" s="3" t="s">
        <v>569</v>
      </c>
      <c r="BJ11" s="125" t="s">
        <v>644</v>
      </c>
      <c r="BL11" s="3" t="s">
        <v>640</v>
      </c>
      <c r="BM11" s="3" t="s">
        <v>639</v>
      </c>
      <c r="BN11" s="3">
        <v>39530</v>
      </c>
      <c r="BO11" s="125" t="s">
        <v>634</v>
      </c>
    </row>
    <row r="12" spans="1:104" ht="25.5" thickBot="1" x14ac:dyDescent="0.3">
      <c r="B12" s="3" t="s">
        <v>559</v>
      </c>
      <c r="E12" s="117">
        <v>46002</v>
      </c>
      <c r="F12" s="3" t="s">
        <v>618</v>
      </c>
      <c r="G12" s="119" t="s">
        <v>571</v>
      </c>
      <c r="H12" s="119" t="s">
        <v>572</v>
      </c>
      <c r="I12" s="125" t="s">
        <v>595</v>
      </c>
      <c r="K12" s="125" t="s">
        <v>629</v>
      </c>
      <c r="L12" s="3">
        <f t="shared" si="0"/>
        <v>1462.5</v>
      </c>
      <c r="P12" s="160">
        <v>10</v>
      </c>
      <c r="Q12" s="159">
        <v>8.5</v>
      </c>
      <c r="R12" s="158"/>
      <c r="S12" s="159">
        <v>10</v>
      </c>
      <c r="T12" s="159">
        <v>10</v>
      </c>
      <c r="U12" s="159">
        <v>10</v>
      </c>
      <c r="V12" s="159">
        <v>10</v>
      </c>
      <c r="AK12" s="3">
        <f t="shared" si="1"/>
        <v>58.5</v>
      </c>
      <c r="AS12" s="3">
        <v>0</v>
      </c>
      <c r="AT12" s="3">
        <v>0</v>
      </c>
      <c r="AU12" s="3">
        <v>0</v>
      </c>
      <c r="AV12" s="3">
        <v>0</v>
      </c>
      <c r="AW12" s="3">
        <v>0</v>
      </c>
      <c r="AX12" s="3">
        <v>0</v>
      </c>
      <c r="AY12" s="3">
        <v>0</v>
      </c>
      <c r="AZ12" s="3">
        <v>0</v>
      </c>
      <c r="BA12" s="3">
        <v>0</v>
      </c>
      <c r="BC12" s="3">
        <v>25</v>
      </c>
      <c r="BD12" s="3" t="s">
        <v>625</v>
      </c>
      <c r="BE12" s="3" t="s">
        <v>625</v>
      </c>
      <c r="BH12" s="3" t="s">
        <v>571</v>
      </c>
      <c r="BI12" s="3" t="s">
        <v>572</v>
      </c>
      <c r="BJ12" s="125" t="s">
        <v>641</v>
      </c>
      <c r="BL12" s="3" t="s">
        <v>642</v>
      </c>
      <c r="BM12" s="3" t="s">
        <v>643</v>
      </c>
      <c r="BN12" s="3">
        <v>38120</v>
      </c>
      <c r="BO12" s="125" t="s">
        <v>635</v>
      </c>
    </row>
    <row r="13" spans="1:104" ht="25.5" thickBot="1" x14ac:dyDescent="0.3">
      <c r="B13" s="3" t="s">
        <v>559</v>
      </c>
      <c r="E13" s="117">
        <v>46002</v>
      </c>
      <c r="F13" s="3" t="s">
        <v>618</v>
      </c>
      <c r="G13" s="119" t="s">
        <v>565</v>
      </c>
      <c r="H13" s="119" t="s">
        <v>573</v>
      </c>
      <c r="I13" s="125" t="s">
        <v>596</v>
      </c>
      <c r="K13" s="125" t="s">
        <v>630</v>
      </c>
      <c r="L13" s="3">
        <f t="shared" si="0"/>
        <v>1345.5</v>
      </c>
      <c r="P13" s="153">
        <v>10</v>
      </c>
      <c r="Q13" s="154">
        <v>8.5</v>
      </c>
      <c r="R13" s="155"/>
      <c r="S13" s="154">
        <v>10</v>
      </c>
      <c r="T13" s="154">
        <v>10</v>
      </c>
      <c r="U13" s="154">
        <v>10</v>
      </c>
      <c r="V13" s="154">
        <v>10</v>
      </c>
      <c r="AK13" s="3">
        <f t="shared" si="1"/>
        <v>58.5</v>
      </c>
      <c r="AS13" s="3">
        <v>0</v>
      </c>
      <c r="AT13" s="3">
        <v>0</v>
      </c>
      <c r="AU13" s="3">
        <v>0</v>
      </c>
      <c r="AV13" s="3">
        <v>0</v>
      </c>
      <c r="AW13" s="3">
        <v>0</v>
      </c>
      <c r="AX13" s="3">
        <v>0</v>
      </c>
      <c r="AY13" s="3">
        <v>0</v>
      </c>
      <c r="AZ13" s="3">
        <v>0</v>
      </c>
      <c r="BA13" s="3">
        <v>0</v>
      </c>
      <c r="BC13" s="3">
        <v>23</v>
      </c>
      <c r="BD13" s="3" t="s">
        <v>625</v>
      </c>
      <c r="BE13" s="3" t="s">
        <v>625</v>
      </c>
      <c r="BH13" s="3" t="s">
        <v>565</v>
      </c>
      <c r="BI13" s="3" t="s">
        <v>573</v>
      </c>
      <c r="BJ13" s="125" t="s">
        <v>645</v>
      </c>
      <c r="BL13" s="3" t="s">
        <v>646</v>
      </c>
      <c r="BM13" s="3" t="s">
        <v>424</v>
      </c>
      <c r="BN13" s="3">
        <v>86507</v>
      </c>
      <c r="BO13" s="125" t="s">
        <v>636</v>
      </c>
    </row>
    <row r="14" spans="1:104" ht="25.5" thickBot="1" x14ac:dyDescent="0.3">
      <c r="B14" s="3" t="s">
        <v>559</v>
      </c>
      <c r="E14" s="117">
        <v>46002</v>
      </c>
      <c r="F14" s="3" t="s">
        <v>618</v>
      </c>
      <c r="G14" s="119" t="s">
        <v>581</v>
      </c>
      <c r="H14" s="119" t="s">
        <v>582</v>
      </c>
      <c r="I14" s="126" t="s">
        <v>601</v>
      </c>
      <c r="K14" s="125" t="s">
        <v>630</v>
      </c>
      <c r="L14" s="3">
        <f t="shared" si="0"/>
        <v>350</v>
      </c>
      <c r="P14" s="157"/>
      <c r="Q14" s="158"/>
      <c r="R14" s="158"/>
      <c r="S14" s="158"/>
      <c r="T14" s="158"/>
      <c r="U14" s="159">
        <v>10</v>
      </c>
      <c r="V14" s="159">
        <v>10</v>
      </c>
      <c r="AK14" s="3">
        <f t="shared" si="1"/>
        <v>20</v>
      </c>
      <c r="AS14" s="3">
        <v>0</v>
      </c>
      <c r="AT14" s="3">
        <v>0</v>
      </c>
      <c r="AU14" s="3">
        <v>0</v>
      </c>
      <c r="AV14" s="3">
        <v>0</v>
      </c>
      <c r="AW14" s="3">
        <v>0</v>
      </c>
      <c r="AX14" s="3">
        <v>0</v>
      </c>
      <c r="AY14" s="3">
        <v>0</v>
      </c>
      <c r="AZ14" s="3">
        <v>0</v>
      </c>
      <c r="BA14" s="3">
        <v>0</v>
      </c>
      <c r="BC14" s="3">
        <v>17.5</v>
      </c>
      <c r="BD14" s="3" t="s">
        <v>625</v>
      </c>
      <c r="BE14" s="3" t="s">
        <v>625</v>
      </c>
      <c r="BH14" s="3" t="s">
        <v>581</v>
      </c>
      <c r="BI14" s="3" t="s">
        <v>582</v>
      </c>
      <c r="BJ14" s="126" t="s">
        <v>661</v>
      </c>
      <c r="BL14" s="3" t="s">
        <v>611</v>
      </c>
      <c r="BM14" s="3" t="s">
        <v>424</v>
      </c>
      <c r="BN14" s="3">
        <v>86538</v>
      </c>
      <c r="BO14" s="126" t="s">
        <v>612</v>
      </c>
    </row>
    <row r="15" spans="1:104" ht="25.5" thickBot="1" x14ac:dyDescent="0.3">
      <c r="B15" s="3" t="s">
        <v>559</v>
      </c>
      <c r="E15" s="117">
        <v>46002</v>
      </c>
      <c r="F15" s="3" t="s">
        <v>618</v>
      </c>
      <c r="G15" s="119" t="s">
        <v>577</v>
      </c>
      <c r="H15" s="119" t="s">
        <v>578</v>
      </c>
      <c r="I15" s="126" t="s">
        <v>599</v>
      </c>
      <c r="K15" s="125" t="s">
        <v>630</v>
      </c>
      <c r="L15" s="3">
        <f t="shared" si="0"/>
        <v>575</v>
      </c>
      <c r="P15" s="157"/>
      <c r="Q15" s="158"/>
      <c r="R15" s="158"/>
      <c r="S15" s="159">
        <v>9.25</v>
      </c>
      <c r="T15" s="159">
        <v>10</v>
      </c>
      <c r="U15" s="159">
        <v>9.5</v>
      </c>
      <c r="V15" s="158"/>
      <c r="AK15" s="3">
        <f t="shared" si="1"/>
        <v>28.75</v>
      </c>
      <c r="AS15" s="3">
        <v>0</v>
      </c>
      <c r="AT15" s="3">
        <v>0</v>
      </c>
      <c r="AU15" s="3">
        <v>0</v>
      </c>
      <c r="AV15" s="3">
        <v>0</v>
      </c>
      <c r="AW15" s="3">
        <v>0</v>
      </c>
      <c r="AX15" s="3">
        <v>0</v>
      </c>
      <c r="AY15" s="3">
        <v>0</v>
      </c>
      <c r="AZ15" s="3">
        <v>0</v>
      </c>
      <c r="BA15" s="3">
        <v>0</v>
      </c>
      <c r="BC15" s="3">
        <v>20</v>
      </c>
      <c r="BD15" s="3" t="s">
        <v>625</v>
      </c>
      <c r="BE15" s="3" t="s">
        <v>625</v>
      </c>
      <c r="BH15" s="3" t="s">
        <v>577</v>
      </c>
      <c r="BI15" s="3" t="s">
        <v>578</v>
      </c>
      <c r="BJ15" s="126" t="s">
        <v>647</v>
      </c>
      <c r="BL15" s="3" t="s">
        <v>613</v>
      </c>
      <c r="BM15" s="3" t="s">
        <v>424</v>
      </c>
      <c r="BN15" s="3">
        <v>86503</v>
      </c>
      <c r="BO15" s="126" t="s">
        <v>614</v>
      </c>
    </row>
    <row r="16" spans="1:104" ht="25.5" thickBot="1" x14ac:dyDescent="0.3">
      <c r="B16" s="3" t="s">
        <v>559</v>
      </c>
      <c r="E16" s="117">
        <v>46002</v>
      </c>
      <c r="F16" s="3" t="s">
        <v>618</v>
      </c>
      <c r="G16" s="119" t="s">
        <v>604</v>
      </c>
      <c r="H16" s="119" t="s">
        <v>576</v>
      </c>
      <c r="I16" s="126" t="s">
        <v>598</v>
      </c>
      <c r="K16" s="125" t="s">
        <v>629</v>
      </c>
      <c r="L16" s="3">
        <f t="shared" si="0"/>
        <v>718.75</v>
      </c>
      <c r="P16" s="156"/>
      <c r="Q16" s="155"/>
      <c r="R16" s="155"/>
      <c r="S16" s="154">
        <v>9.25</v>
      </c>
      <c r="T16" s="155"/>
      <c r="U16" s="154">
        <v>9.5</v>
      </c>
      <c r="V16" s="154">
        <v>10</v>
      </c>
      <c r="AK16" s="3">
        <f t="shared" si="1"/>
        <v>28.75</v>
      </c>
      <c r="AS16" s="3">
        <v>0</v>
      </c>
      <c r="AT16" s="3">
        <v>0</v>
      </c>
      <c r="AU16" s="3">
        <v>0</v>
      </c>
      <c r="AV16" s="3">
        <v>0</v>
      </c>
      <c r="AW16" s="3">
        <v>0</v>
      </c>
      <c r="AX16" s="3">
        <v>0</v>
      </c>
      <c r="AY16" s="3">
        <v>0</v>
      </c>
      <c r="AZ16" s="3">
        <v>0</v>
      </c>
      <c r="BA16" s="3">
        <v>0</v>
      </c>
      <c r="BC16" s="3">
        <v>25</v>
      </c>
      <c r="BD16" s="3" t="s">
        <v>625</v>
      </c>
      <c r="BE16" s="3" t="s">
        <v>625</v>
      </c>
      <c r="BH16" s="3" t="s">
        <v>604</v>
      </c>
      <c r="BI16" s="3" t="s">
        <v>576</v>
      </c>
      <c r="BJ16" s="125" t="s">
        <v>649</v>
      </c>
      <c r="BL16" s="3" t="s">
        <v>613</v>
      </c>
      <c r="BM16" s="3" t="s">
        <v>424</v>
      </c>
      <c r="BN16" s="3">
        <v>86503</v>
      </c>
      <c r="BO16" s="126" t="s">
        <v>615</v>
      </c>
    </row>
    <row r="17" spans="1:85" ht="25.5" thickBot="1" x14ac:dyDescent="0.3">
      <c r="B17" s="3" t="s">
        <v>559</v>
      </c>
      <c r="E17" s="117">
        <v>46002</v>
      </c>
      <c r="F17" s="3" t="s">
        <v>618</v>
      </c>
      <c r="G17" s="119" t="s">
        <v>574</v>
      </c>
      <c r="H17" s="119" t="s">
        <v>575</v>
      </c>
      <c r="I17" s="126" t="s">
        <v>597</v>
      </c>
      <c r="K17" s="125" t="s">
        <v>629</v>
      </c>
      <c r="L17" s="3">
        <f t="shared" si="0"/>
        <v>250</v>
      </c>
      <c r="P17" s="157"/>
      <c r="Q17" s="158"/>
      <c r="R17" s="158"/>
      <c r="S17" s="158"/>
      <c r="T17" s="158"/>
      <c r="U17" s="158"/>
      <c r="V17" s="159">
        <v>10</v>
      </c>
      <c r="AK17" s="3">
        <f t="shared" si="1"/>
        <v>10</v>
      </c>
      <c r="AS17" s="3">
        <v>0</v>
      </c>
      <c r="AT17" s="3">
        <v>0</v>
      </c>
      <c r="AU17" s="3">
        <v>0</v>
      </c>
      <c r="AV17" s="3">
        <v>0</v>
      </c>
      <c r="AW17" s="3">
        <v>0</v>
      </c>
      <c r="AX17" s="3">
        <v>0</v>
      </c>
      <c r="AY17" s="3">
        <v>0</v>
      </c>
      <c r="AZ17" s="3">
        <v>0</v>
      </c>
      <c r="BA17" s="3">
        <v>0</v>
      </c>
      <c r="BC17" s="3">
        <v>25</v>
      </c>
      <c r="BD17" s="3" t="s">
        <v>625</v>
      </c>
      <c r="BE17" s="3" t="s">
        <v>625</v>
      </c>
      <c r="BH17" s="3" t="s">
        <v>574</v>
      </c>
      <c r="BI17" s="3" t="s">
        <v>575</v>
      </c>
      <c r="BJ17" s="125" t="s">
        <v>648</v>
      </c>
      <c r="BL17" s="3" t="s">
        <v>611</v>
      </c>
      <c r="BM17" s="3" t="s">
        <v>424</v>
      </c>
      <c r="BN17" s="3">
        <v>86538</v>
      </c>
      <c r="BO17" s="126" t="s">
        <v>616</v>
      </c>
    </row>
    <row r="18" spans="1:85" ht="25.5" thickBot="1" x14ac:dyDescent="0.3">
      <c r="B18" s="3" t="s">
        <v>559</v>
      </c>
      <c r="E18" s="117">
        <v>46002</v>
      </c>
      <c r="F18" s="3" t="s">
        <v>618</v>
      </c>
      <c r="G18" s="119" t="s">
        <v>579</v>
      </c>
      <c r="H18" s="119" t="s">
        <v>580</v>
      </c>
      <c r="I18" s="126" t="s">
        <v>600</v>
      </c>
      <c r="K18" s="125" t="s">
        <v>630</v>
      </c>
      <c r="L18" s="3">
        <f t="shared" si="0"/>
        <v>180</v>
      </c>
      <c r="P18" s="156"/>
      <c r="Q18" s="155"/>
      <c r="R18" s="155"/>
      <c r="S18" s="155"/>
      <c r="T18" s="155"/>
      <c r="U18" s="155"/>
      <c r="V18" s="154">
        <v>10</v>
      </c>
      <c r="AK18" s="3">
        <f t="shared" si="1"/>
        <v>10</v>
      </c>
      <c r="AS18" s="3">
        <v>0</v>
      </c>
      <c r="AT18" s="3">
        <v>0</v>
      </c>
      <c r="AU18" s="3">
        <v>0</v>
      </c>
      <c r="AV18" s="3">
        <v>0</v>
      </c>
      <c r="AW18" s="3">
        <v>0</v>
      </c>
      <c r="AX18" s="3">
        <v>0</v>
      </c>
      <c r="AY18" s="3">
        <v>0</v>
      </c>
      <c r="AZ18" s="3">
        <v>0</v>
      </c>
      <c r="BA18" s="3">
        <v>0</v>
      </c>
      <c r="BC18" s="3">
        <v>18</v>
      </c>
      <c r="BD18" s="3" t="s">
        <v>625</v>
      </c>
      <c r="BE18" s="3" t="s">
        <v>625</v>
      </c>
      <c r="BH18" s="3" t="s">
        <v>579</v>
      </c>
      <c r="BI18" s="3" t="s">
        <v>580</v>
      </c>
      <c r="BJ18" s="125" t="s">
        <v>650</v>
      </c>
      <c r="BL18" s="3" t="s">
        <v>613</v>
      </c>
      <c r="BM18" s="3" t="s">
        <v>424</v>
      </c>
      <c r="BN18" s="3">
        <v>86503</v>
      </c>
      <c r="BO18" s="126" t="s">
        <v>617</v>
      </c>
    </row>
    <row r="19" spans="1:85" ht="13" thickBot="1" x14ac:dyDescent="0.3">
      <c r="B19" s="3" t="s">
        <v>585</v>
      </c>
      <c r="E19" s="117">
        <v>46002</v>
      </c>
      <c r="F19" s="3" t="s">
        <v>618</v>
      </c>
      <c r="G19" s="119" t="s">
        <v>652</v>
      </c>
      <c r="H19" s="119" t="s">
        <v>653</v>
      </c>
      <c r="I19" s="3" t="s">
        <v>655</v>
      </c>
      <c r="K19" s="3" t="s">
        <v>621</v>
      </c>
      <c r="L19" s="3">
        <f>AK19*BC19</f>
        <v>350</v>
      </c>
      <c r="P19" s="153">
        <v>10</v>
      </c>
      <c r="Q19" s="154">
        <v>7.5</v>
      </c>
      <c r="R19" s="155"/>
      <c r="S19" s="155"/>
      <c r="T19" s="155"/>
      <c r="U19" s="155"/>
      <c r="V19" s="155"/>
      <c r="AK19" s="3">
        <f>SUM(P19:V19)</f>
        <v>17.5</v>
      </c>
      <c r="AS19" s="3">
        <v>0</v>
      </c>
      <c r="AT19" s="3">
        <v>0</v>
      </c>
      <c r="AU19" s="3">
        <v>0</v>
      </c>
      <c r="AV19" s="3">
        <v>0</v>
      </c>
      <c r="AW19" s="3">
        <v>0</v>
      </c>
      <c r="AX19" s="3">
        <v>0</v>
      </c>
      <c r="AY19" s="3">
        <v>0</v>
      </c>
      <c r="AZ19" s="3">
        <v>0</v>
      </c>
      <c r="BA19" s="3">
        <v>0</v>
      </c>
      <c r="BC19" s="3">
        <v>20</v>
      </c>
      <c r="BD19" s="3" t="s">
        <v>625</v>
      </c>
      <c r="BE19" s="3" t="s">
        <v>625</v>
      </c>
      <c r="BH19" s="3" t="s">
        <v>652</v>
      </c>
      <c r="BI19" s="3" t="s">
        <v>653</v>
      </c>
      <c r="BJ19" s="3" t="s">
        <v>657</v>
      </c>
      <c r="BL19" s="3" t="s">
        <v>658</v>
      </c>
      <c r="BM19" s="3" t="s">
        <v>470</v>
      </c>
      <c r="BN19" s="3">
        <v>80514</v>
      </c>
      <c r="BO19" s="3" t="s">
        <v>659</v>
      </c>
    </row>
    <row r="20" spans="1:85" ht="25.5" thickBot="1" x14ac:dyDescent="0.3">
      <c r="B20" s="3" t="s">
        <v>585</v>
      </c>
      <c r="E20" s="117">
        <v>46002</v>
      </c>
      <c r="F20" s="3" t="s">
        <v>618</v>
      </c>
      <c r="G20" s="119" t="s">
        <v>654</v>
      </c>
      <c r="H20" s="119" t="s">
        <v>653</v>
      </c>
      <c r="I20" s="126" t="s">
        <v>656</v>
      </c>
      <c r="K20" s="125" t="s">
        <v>621</v>
      </c>
      <c r="L20" s="3">
        <f t="shared" ref="L20" si="2">AK20*BC20</f>
        <v>200</v>
      </c>
      <c r="P20" s="160">
        <v>10</v>
      </c>
      <c r="Q20" s="158"/>
      <c r="R20" s="158"/>
      <c r="S20" s="158"/>
      <c r="T20" s="158"/>
      <c r="U20" s="158"/>
      <c r="V20" s="158"/>
      <c r="AK20" s="3">
        <f t="shared" ref="AK20" si="3">SUM(P20:V20)</f>
        <v>10</v>
      </c>
      <c r="AS20" s="3">
        <v>0</v>
      </c>
      <c r="AT20" s="3">
        <v>0</v>
      </c>
      <c r="AU20" s="3">
        <v>0</v>
      </c>
      <c r="AV20" s="3">
        <v>0</v>
      </c>
      <c r="AW20" s="3">
        <v>0</v>
      </c>
      <c r="AX20" s="3">
        <v>0</v>
      </c>
      <c r="AY20" s="3">
        <v>0</v>
      </c>
      <c r="AZ20" s="3">
        <v>0</v>
      </c>
      <c r="BA20" s="3">
        <v>0</v>
      </c>
      <c r="BC20" s="3">
        <v>20</v>
      </c>
      <c r="BD20" s="3" t="s">
        <v>625</v>
      </c>
      <c r="BE20" s="3" t="s">
        <v>625</v>
      </c>
      <c r="BH20" s="3" t="s">
        <v>654</v>
      </c>
      <c r="BI20" s="3" t="s">
        <v>653</v>
      </c>
      <c r="BJ20" s="3" t="s">
        <v>657</v>
      </c>
      <c r="BL20" s="3" t="s">
        <v>658</v>
      </c>
      <c r="BM20" s="3" t="s">
        <v>470</v>
      </c>
      <c r="BN20" s="3">
        <v>80514</v>
      </c>
      <c r="BO20" s="126" t="s">
        <v>660</v>
      </c>
    </row>
    <row r="21" spans="1:85" ht="13" thickBot="1" x14ac:dyDescent="0.3">
      <c r="B21" s="3" t="s">
        <v>585</v>
      </c>
      <c r="E21" s="117">
        <v>46002</v>
      </c>
      <c r="F21" s="3" t="s">
        <v>618</v>
      </c>
      <c r="G21" s="119" t="s">
        <v>619</v>
      </c>
      <c r="H21" s="119" t="s">
        <v>620</v>
      </c>
      <c r="I21" s="128"/>
      <c r="K21" s="3" t="s">
        <v>621</v>
      </c>
      <c r="L21" s="3">
        <f t="shared" ref="L21:L33" si="4">AK21*BC21</f>
        <v>720</v>
      </c>
      <c r="P21" s="156"/>
      <c r="Q21" s="155"/>
      <c r="R21" s="155"/>
      <c r="S21" s="154">
        <v>8</v>
      </c>
      <c r="T21" s="154">
        <v>10</v>
      </c>
      <c r="U21" s="154">
        <v>8</v>
      </c>
      <c r="V21" s="154">
        <v>10</v>
      </c>
      <c r="AK21" s="3">
        <f t="shared" ref="AK21:AK33" si="5">SUM(P21:V21)</f>
        <v>36</v>
      </c>
      <c r="AS21" s="3">
        <v>0</v>
      </c>
      <c r="AT21" s="3">
        <v>0</v>
      </c>
      <c r="AU21" s="3">
        <v>0</v>
      </c>
      <c r="AV21" s="3">
        <v>0</v>
      </c>
      <c r="AW21" s="3">
        <v>0</v>
      </c>
      <c r="AX21" s="3">
        <v>0</v>
      </c>
      <c r="AY21" s="3">
        <v>0</v>
      </c>
      <c r="AZ21" s="3">
        <v>0</v>
      </c>
      <c r="BA21" s="3">
        <v>0</v>
      </c>
      <c r="BC21" s="3">
        <v>20</v>
      </c>
      <c r="BD21" s="3" t="s">
        <v>625</v>
      </c>
      <c r="BE21" s="3" t="s">
        <v>625</v>
      </c>
      <c r="BH21" s="3" t="s">
        <v>619</v>
      </c>
      <c r="BI21" s="3" t="s">
        <v>620</v>
      </c>
      <c r="BJ21" s="128"/>
      <c r="BK21" s="128"/>
      <c r="BL21" s="128"/>
      <c r="BM21" s="128"/>
      <c r="BN21" s="128"/>
      <c r="BO21" s="128"/>
    </row>
    <row r="22" spans="1:85" ht="25.5" thickBot="1" x14ac:dyDescent="0.3">
      <c r="B22" s="3" t="s">
        <v>585</v>
      </c>
      <c r="E22" s="117">
        <v>46002</v>
      </c>
      <c r="F22" s="3" t="s">
        <v>618</v>
      </c>
      <c r="G22" s="119" t="s">
        <v>622</v>
      </c>
      <c r="H22" s="119" t="s">
        <v>662</v>
      </c>
      <c r="I22" s="125" t="s">
        <v>623</v>
      </c>
      <c r="K22" s="125" t="s">
        <v>628</v>
      </c>
      <c r="L22" s="3">
        <f t="shared" si="4"/>
        <v>1665</v>
      </c>
      <c r="P22" s="153">
        <v>10</v>
      </c>
      <c r="Q22" s="154">
        <v>7.5</v>
      </c>
      <c r="R22" s="155"/>
      <c r="S22" s="154">
        <v>8</v>
      </c>
      <c r="T22" s="154">
        <v>10</v>
      </c>
      <c r="U22" s="154">
        <v>10</v>
      </c>
      <c r="V22" s="154">
        <v>10</v>
      </c>
      <c r="AK22" s="3">
        <f t="shared" si="5"/>
        <v>55.5</v>
      </c>
      <c r="AS22" s="3">
        <v>0</v>
      </c>
      <c r="AT22" s="3">
        <v>0</v>
      </c>
      <c r="AU22" s="3">
        <v>0</v>
      </c>
      <c r="AV22" s="3">
        <v>0</v>
      </c>
      <c r="AW22" s="3">
        <v>0</v>
      </c>
      <c r="AX22" s="3">
        <v>0</v>
      </c>
      <c r="AY22" s="3">
        <v>0</v>
      </c>
      <c r="AZ22" s="3">
        <v>0</v>
      </c>
      <c r="BA22" s="3">
        <v>0</v>
      </c>
      <c r="BC22" s="3">
        <v>30</v>
      </c>
      <c r="BD22" s="3" t="s">
        <v>625</v>
      </c>
      <c r="BE22" s="3" t="s">
        <v>625</v>
      </c>
      <c r="BH22" s="3" t="s">
        <v>622</v>
      </c>
      <c r="BI22" s="3" t="s">
        <v>662</v>
      </c>
      <c r="BJ22" s="120" t="s">
        <v>665</v>
      </c>
      <c r="BL22" s="3" t="s">
        <v>666</v>
      </c>
      <c r="BM22" s="3" t="s">
        <v>424</v>
      </c>
      <c r="BN22" s="3">
        <v>85648</v>
      </c>
      <c r="BO22" s="120" t="s">
        <v>667</v>
      </c>
    </row>
    <row r="23" spans="1:85" ht="25.5" thickBot="1" x14ac:dyDescent="0.3">
      <c r="B23" s="3" t="s">
        <v>585</v>
      </c>
      <c r="E23" s="117">
        <v>46002</v>
      </c>
      <c r="F23" s="3" t="s">
        <v>618</v>
      </c>
      <c r="G23" s="119" t="s">
        <v>584</v>
      </c>
      <c r="H23" s="119" t="s">
        <v>564</v>
      </c>
      <c r="I23" s="125" t="s">
        <v>587</v>
      </c>
      <c r="K23" s="125" t="s">
        <v>630</v>
      </c>
      <c r="L23" s="3">
        <f t="shared" si="4"/>
        <v>1165.5</v>
      </c>
      <c r="P23" s="153">
        <v>10</v>
      </c>
      <c r="Q23" s="154">
        <v>7.5</v>
      </c>
      <c r="R23" s="155"/>
      <c r="S23" s="154">
        <v>8</v>
      </c>
      <c r="T23" s="154">
        <v>10</v>
      </c>
      <c r="U23" s="154">
        <v>10</v>
      </c>
      <c r="V23" s="154">
        <v>10</v>
      </c>
      <c r="AK23" s="3">
        <f t="shared" si="5"/>
        <v>55.5</v>
      </c>
      <c r="AS23" s="3">
        <v>0</v>
      </c>
      <c r="AT23" s="3">
        <v>0</v>
      </c>
      <c r="AU23" s="3">
        <v>0</v>
      </c>
      <c r="AV23" s="3">
        <v>0</v>
      </c>
      <c r="AW23" s="3">
        <v>0</v>
      </c>
      <c r="AX23" s="3">
        <v>0</v>
      </c>
      <c r="AY23" s="3">
        <v>0</v>
      </c>
      <c r="AZ23" s="3">
        <v>0</v>
      </c>
      <c r="BA23" s="3">
        <v>0</v>
      </c>
      <c r="BC23" s="3">
        <v>21</v>
      </c>
      <c r="BD23" s="3" t="s">
        <v>625</v>
      </c>
      <c r="BE23" s="3" t="s">
        <v>625</v>
      </c>
      <c r="BH23" s="3" t="s">
        <v>584</v>
      </c>
      <c r="BI23" s="3" t="s">
        <v>564</v>
      </c>
      <c r="BJ23" s="125" t="s">
        <v>672</v>
      </c>
      <c r="BL23" s="3" t="s">
        <v>678</v>
      </c>
      <c r="BM23" s="3" t="s">
        <v>424</v>
      </c>
      <c r="BN23" s="3">
        <v>86336</v>
      </c>
      <c r="BO23" s="125" t="s">
        <v>668</v>
      </c>
    </row>
    <row r="24" spans="1:85" ht="25.5" thickBot="1" x14ac:dyDescent="0.3">
      <c r="B24" s="3" t="s">
        <v>585</v>
      </c>
      <c r="E24" s="117">
        <v>46002</v>
      </c>
      <c r="F24" s="3" t="s">
        <v>618</v>
      </c>
      <c r="G24" s="119" t="s">
        <v>604</v>
      </c>
      <c r="H24" s="119" t="s">
        <v>663</v>
      </c>
      <c r="I24" s="125" t="s">
        <v>588</v>
      </c>
      <c r="K24" s="125" t="s">
        <v>629</v>
      </c>
      <c r="L24" s="3">
        <f t="shared" si="4"/>
        <v>1498.5</v>
      </c>
      <c r="P24" s="160">
        <v>10</v>
      </c>
      <c r="Q24" s="159">
        <v>7.5</v>
      </c>
      <c r="R24" s="158"/>
      <c r="S24" s="159">
        <v>8</v>
      </c>
      <c r="T24" s="159">
        <v>10</v>
      </c>
      <c r="U24" s="159">
        <v>10</v>
      </c>
      <c r="V24" s="159">
        <v>10</v>
      </c>
      <c r="AK24" s="3">
        <f t="shared" si="5"/>
        <v>55.5</v>
      </c>
      <c r="AS24" s="3">
        <v>0</v>
      </c>
      <c r="AT24" s="3">
        <v>0</v>
      </c>
      <c r="AU24" s="3">
        <v>0</v>
      </c>
      <c r="AV24" s="3">
        <v>0</v>
      </c>
      <c r="AW24" s="3">
        <v>0</v>
      </c>
      <c r="AX24" s="3">
        <v>0</v>
      </c>
      <c r="AY24" s="3">
        <v>0</v>
      </c>
      <c r="AZ24" s="3">
        <v>0</v>
      </c>
      <c r="BA24" s="3">
        <v>0</v>
      </c>
      <c r="BC24" s="3">
        <v>27</v>
      </c>
      <c r="BD24" s="3" t="s">
        <v>625</v>
      </c>
      <c r="BE24" s="3" t="s">
        <v>625</v>
      </c>
      <c r="BH24" s="3" t="s">
        <v>604</v>
      </c>
      <c r="BI24" s="3" t="s">
        <v>663</v>
      </c>
      <c r="BJ24" s="125" t="s">
        <v>673</v>
      </c>
      <c r="BL24" s="3" t="s">
        <v>679</v>
      </c>
      <c r="BM24" s="3" t="s">
        <v>424</v>
      </c>
      <c r="BN24" s="3">
        <v>85009</v>
      </c>
      <c r="BO24" s="125" t="s">
        <v>669</v>
      </c>
    </row>
    <row r="25" spans="1:85" ht="25.5" thickBot="1" x14ac:dyDescent="0.3">
      <c r="B25" s="3" t="s">
        <v>585</v>
      </c>
      <c r="E25" s="117">
        <v>46002</v>
      </c>
      <c r="F25" s="3" t="s">
        <v>618</v>
      </c>
      <c r="G25" s="119" t="s">
        <v>664</v>
      </c>
      <c r="H25" s="119" t="s">
        <v>583</v>
      </c>
      <c r="I25" s="125" t="s">
        <v>602</v>
      </c>
      <c r="K25" s="125" t="s">
        <v>629</v>
      </c>
      <c r="L25" s="3">
        <f t="shared" si="4"/>
        <v>1387.5</v>
      </c>
      <c r="P25" s="160">
        <v>10</v>
      </c>
      <c r="Q25" s="159">
        <v>7.5</v>
      </c>
      <c r="R25" s="158"/>
      <c r="S25" s="159">
        <v>8</v>
      </c>
      <c r="T25" s="159">
        <v>10</v>
      </c>
      <c r="U25" s="159">
        <v>10</v>
      </c>
      <c r="V25" s="159">
        <v>10</v>
      </c>
      <c r="AK25" s="3">
        <f t="shared" si="5"/>
        <v>55.5</v>
      </c>
      <c r="AS25" s="3">
        <v>0</v>
      </c>
      <c r="AT25" s="3">
        <v>0</v>
      </c>
      <c r="AU25" s="3">
        <v>0</v>
      </c>
      <c r="AV25" s="3">
        <v>0</v>
      </c>
      <c r="AW25" s="3">
        <v>0</v>
      </c>
      <c r="AX25" s="3">
        <v>0</v>
      </c>
      <c r="AY25" s="3">
        <v>0</v>
      </c>
      <c r="AZ25" s="3">
        <v>0</v>
      </c>
      <c r="BA25" s="3">
        <v>0</v>
      </c>
      <c r="BC25" s="3">
        <v>25</v>
      </c>
      <c r="BD25" s="3" t="s">
        <v>625</v>
      </c>
      <c r="BE25" s="3" t="s">
        <v>625</v>
      </c>
      <c r="BH25" s="3" t="s">
        <v>664</v>
      </c>
      <c r="BI25" s="3" t="s">
        <v>583</v>
      </c>
      <c r="BJ25" s="125" t="s">
        <v>674</v>
      </c>
      <c r="BL25" s="3" t="s">
        <v>680</v>
      </c>
      <c r="BM25" s="3" t="s">
        <v>452</v>
      </c>
      <c r="BN25" s="3">
        <v>92315</v>
      </c>
      <c r="BO25" s="136" t="s">
        <v>670</v>
      </c>
    </row>
    <row r="26" spans="1:85" ht="25.5" thickBot="1" x14ac:dyDescent="0.3">
      <c r="B26" s="3" t="s">
        <v>585</v>
      </c>
      <c r="E26" s="117">
        <v>46002</v>
      </c>
      <c r="F26" s="3" t="s">
        <v>618</v>
      </c>
      <c r="G26" s="119" t="s">
        <v>681</v>
      </c>
      <c r="H26" s="119" t="s">
        <v>682</v>
      </c>
      <c r="I26" s="125" t="s">
        <v>683</v>
      </c>
      <c r="K26" s="125" t="s">
        <v>629</v>
      </c>
      <c r="L26" s="3">
        <f t="shared" si="4"/>
        <v>1554</v>
      </c>
      <c r="P26" s="153">
        <v>10</v>
      </c>
      <c r="Q26" s="154">
        <v>7.5</v>
      </c>
      <c r="R26" s="155"/>
      <c r="S26" s="154">
        <v>8</v>
      </c>
      <c r="T26" s="154">
        <v>10</v>
      </c>
      <c r="U26" s="154">
        <v>10</v>
      </c>
      <c r="V26" s="154">
        <v>10</v>
      </c>
      <c r="AK26" s="3">
        <f t="shared" ref="AK26:AK27" si="6">SUM(P26:V26)</f>
        <v>55.5</v>
      </c>
      <c r="AS26" s="3">
        <v>0</v>
      </c>
      <c r="AT26" s="3">
        <v>0</v>
      </c>
      <c r="AU26" s="3">
        <v>0</v>
      </c>
      <c r="AV26" s="3">
        <v>0</v>
      </c>
      <c r="AW26" s="3">
        <v>0</v>
      </c>
      <c r="AX26" s="3">
        <v>0</v>
      </c>
      <c r="AY26" s="3">
        <v>0</v>
      </c>
      <c r="AZ26" s="3">
        <v>0</v>
      </c>
      <c r="BA26" s="3">
        <v>0</v>
      </c>
      <c r="BC26" s="3">
        <v>28</v>
      </c>
      <c r="BD26" s="3" t="s">
        <v>625</v>
      </c>
      <c r="BE26" s="3" t="s">
        <v>625</v>
      </c>
      <c r="BH26" s="3" t="s">
        <v>681</v>
      </c>
      <c r="BI26" s="3" t="s">
        <v>682</v>
      </c>
      <c r="BJ26" s="125" t="s">
        <v>684</v>
      </c>
      <c r="BL26" s="3" t="s">
        <v>676</v>
      </c>
      <c r="BM26" s="3" t="s">
        <v>424</v>
      </c>
      <c r="BN26" s="3">
        <v>85714</v>
      </c>
      <c r="BO26" s="125" t="s">
        <v>685</v>
      </c>
    </row>
    <row r="27" spans="1:85" ht="25.5" thickBot="1" x14ac:dyDescent="0.3">
      <c r="B27" s="3" t="s">
        <v>585</v>
      </c>
      <c r="E27" s="117">
        <v>46002</v>
      </c>
      <c r="F27" s="3" t="s">
        <v>618</v>
      </c>
      <c r="G27" s="119" t="s">
        <v>686</v>
      </c>
      <c r="H27" s="119" t="s">
        <v>687</v>
      </c>
      <c r="I27" s="125" t="s">
        <v>688</v>
      </c>
      <c r="K27" s="125" t="s">
        <v>629</v>
      </c>
      <c r="L27" s="3">
        <f t="shared" si="4"/>
        <v>1554</v>
      </c>
      <c r="P27" s="160">
        <v>10</v>
      </c>
      <c r="Q27" s="159">
        <v>7.5</v>
      </c>
      <c r="R27" s="158"/>
      <c r="S27" s="159">
        <v>8</v>
      </c>
      <c r="T27" s="159">
        <v>10</v>
      </c>
      <c r="U27" s="159">
        <v>10</v>
      </c>
      <c r="V27" s="159">
        <v>10</v>
      </c>
      <c r="AK27" s="3">
        <f t="shared" si="6"/>
        <v>55.5</v>
      </c>
      <c r="AS27" s="3">
        <v>0</v>
      </c>
      <c r="AT27" s="3">
        <v>0</v>
      </c>
      <c r="AU27" s="3">
        <v>0</v>
      </c>
      <c r="AV27" s="3">
        <v>0</v>
      </c>
      <c r="AW27" s="3">
        <v>0</v>
      </c>
      <c r="AX27" s="3">
        <v>0</v>
      </c>
      <c r="AY27" s="3">
        <v>0</v>
      </c>
      <c r="AZ27" s="3">
        <v>0</v>
      </c>
      <c r="BA27" s="3">
        <v>0</v>
      </c>
      <c r="BC27" s="3">
        <v>28</v>
      </c>
      <c r="BD27" s="3" t="s">
        <v>625</v>
      </c>
      <c r="BE27" s="3" t="s">
        <v>625</v>
      </c>
      <c r="BH27" s="3" t="s">
        <v>686</v>
      </c>
      <c r="BI27" s="3" t="s">
        <v>687</v>
      </c>
      <c r="BJ27" s="125" t="s">
        <v>689</v>
      </c>
      <c r="BL27" s="3" t="s">
        <v>676</v>
      </c>
      <c r="BM27" s="3" t="s">
        <v>424</v>
      </c>
      <c r="BN27" s="3">
        <v>85714</v>
      </c>
      <c r="BO27" s="125" t="s">
        <v>690</v>
      </c>
    </row>
    <row r="28" spans="1:85" s="162" customFormat="1" ht="25.5" thickBot="1" x14ac:dyDescent="0.3">
      <c r="A28" s="163"/>
      <c r="B28" s="162" t="s">
        <v>585</v>
      </c>
      <c r="E28" s="164">
        <v>46002</v>
      </c>
      <c r="F28" s="162" t="s">
        <v>618</v>
      </c>
      <c r="G28" s="119" t="s">
        <v>686</v>
      </c>
      <c r="H28" s="119" t="s">
        <v>691</v>
      </c>
      <c r="I28" s="125" t="s">
        <v>697</v>
      </c>
      <c r="K28" s="125" t="s">
        <v>628</v>
      </c>
      <c r="L28" s="162">
        <f t="shared" si="4"/>
        <v>714</v>
      </c>
      <c r="P28" s="153">
        <v>10</v>
      </c>
      <c r="Q28" s="154">
        <v>7.5</v>
      </c>
      <c r="R28" s="155"/>
      <c r="S28" s="154">
        <v>8</v>
      </c>
      <c r="T28" s="155"/>
      <c r="U28" s="155"/>
      <c r="V28" s="155"/>
      <c r="W28" s="128"/>
      <c r="X28" s="128"/>
      <c r="Y28" s="128"/>
      <c r="Z28" s="128"/>
      <c r="AA28" s="128"/>
      <c r="AB28" s="128"/>
      <c r="AC28" s="128"/>
      <c r="AD28" s="128"/>
      <c r="AE28" s="128"/>
      <c r="AF28" s="128"/>
      <c r="AG28" s="128"/>
      <c r="AH28" s="128"/>
      <c r="AI28" s="128"/>
      <c r="AJ28" s="128"/>
      <c r="AK28" s="162">
        <f t="shared" si="5"/>
        <v>25.5</v>
      </c>
      <c r="AS28" s="162">
        <v>0</v>
      </c>
      <c r="AT28" s="162">
        <v>0</v>
      </c>
      <c r="AU28" s="162">
        <v>0</v>
      </c>
      <c r="AV28" s="162">
        <v>0</v>
      </c>
      <c r="AW28" s="162">
        <v>0</v>
      </c>
      <c r="AX28" s="162">
        <v>0</v>
      </c>
      <c r="AY28" s="162">
        <v>0</v>
      </c>
      <c r="AZ28" s="162">
        <v>0</v>
      </c>
      <c r="BA28" s="162">
        <v>0</v>
      </c>
      <c r="BC28" s="162">
        <v>28</v>
      </c>
      <c r="BD28" s="162" t="s">
        <v>625</v>
      </c>
      <c r="BE28" s="162" t="s">
        <v>625</v>
      </c>
      <c r="BH28" s="162" t="s">
        <v>686</v>
      </c>
      <c r="BI28" s="162" t="s">
        <v>691</v>
      </c>
      <c r="BJ28" s="120" t="s">
        <v>705</v>
      </c>
      <c r="BL28" s="162" t="s">
        <v>679</v>
      </c>
      <c r="BM28" s="162" t="s">
        <v>424</v>
      </c>
      <c r="BN28" s="162">
        <v>85043</v>
      </c>
      <c r="BO28" s="125" t="s">
        <v>701</v>
      </c>
      <c r="CG28" s="165"/>
    </row>
    <row r="29" spans="1:85" s="162" customFormat="1" ht="25.5" thickBot="1" x14ac:dyDescent="0.3">
      <c r="A29" s="163"/>
      <c r="B29" s="162" t="s">
        <v>585</v>
      </c>
      <c r="E29" s="164">
        <v>46002</v>
      </c>
      <c r="F29" s="162" t="s">
        <v>618</v>
      </c>
      <c r="G29" s="119" t="s">
        <v>692</v>
      </c>
      <c r="H29" s="119" t="s">
        <v>691</v>
      </c>
      <c r="I29" s="125" t="s">
        <v>698</v>
      </c>
      <c r="K29" s="125" t="s">
        <v>629</v>
      </c>
      <c r="L29" s="162">
        <f t="shared" si="4"/>
        <v>637.5</v>
      </c>
      <c r="P29" s="160">
        <v>10</v>
      </c>
      <c r="Q29" s="159">
        <v>7.5</v>
      </c>
      <c r="R29" s="158"/>
      <c r="S29" s="159">
        <v>8</v>
      </c>
      <c r="T29" s="158"/>
      <c r="U29" s="158"/>
      <c r="V29" s="158"/>
      <c r="W29" s="128"/>
      <c r="X29" s="128"/>
      <c r="Y29" s="128"/>
      <c r="Z29" s="128"/>
      <c r="AA29" s="128"/>
      <c r="AB29" s="128"/>
      <c r="AC29" s="128"/>
      <c r="AD29" s="128"/>
      <c r="AE29" s="128"/>
      <c r="AF29" s="128"/>
      <c r="AG29" s="128"/>
      <c r="AH29" s="128"/>
      <c r="AI29" s="128"/>
      <c r="AJ29" s="128"/>
      <c r="AK29" s="162">
        <f t="shared" si="5"/>
        <v>25.5</v>
      </c>
      <c r="AS29" s="162">
        <v>0</v>
      </c>
      <c r="AT29" s="162">
        <v>0</v>
      </c>
      <c r="AU29" s="162">
        <v>0</v>
      </c>
      <c r="AV29" s="162">
        <v>0</v>
      </c>
      <c r="AW29" s="162">
        <v>0</v>
      </c>
      <c r="AX29" s="162">
        <v>0</v>
      </c>
      <c r="AY29" s="162">
        <v>0</v>
      </c>
      <c r="AZ29" s="162">
        <v>0</v>
      </c>
      <c r="BA29" s="162">
        <v>0</v>
      </c>
      <c r="BC29" s="162">
        <v>25</v>
      </c>
      <c r="BD29" s="162" t="s">
        <v>625</v>
      </c>
      <c r="BE29" s="162" t="s">
        <v>625</v>
      </c>
      <c r="BH29" s="162" t="s">
        <v>692</v>
      </c>
      <c r="BI29" s="162" t="s">
        <v>691</v>
      </c>
      <c r="BJ29" s="120" t="s">
        <v>705</v>
      </c>
      <c r="BL29" s="162" t="s">
        <v>679</v>
      </c>
      <c r="BM29" s="162" t="s">
        <v>424</v>
      </c>
      <c r="BN29" s="162">
        <v>85043</v>
      </c>
      <c r="BO29" s="125" t="s">
        <v>702</v>
      </c>
      <c r="CG29" s="165"/>
    </row>
    <row r="30" spans="1:85" s="162" customFormat="1" ht="25.5" thickBot="1" x14ac:dyDescent="0.3">
      <c r="A30" s="163"/>
      <c r="B30" s="162" t="s">
        <v>585</v>
      </c>
      <c r="E30" s="164">
        <v>46002</v>
      </c>
      <c r="F30" s="162" t="s">
        <v>618</v>
      </c>
      <c r="G30" s="119" t="s">
        <v>686</v>
      </c>
      <c r="H30" s="119" t="s">
        <v>693</v>
      </c>
      <c r="I30" s="125" t="s">
        <v>699</v>
      </c>
      <c r="K30" s="125" t="s">
        <v>629</v>
      </c>
      <c r="L30" s="162">
        <f t="shared" si="4"/>
        <v>504</v>
      </c>
      <c r="P30" s="153">
        <v>10</v>
      </c>
      <c r="Q30" s="155"/>
      <c r="R30" s="155"/>
      <c r="S30" s="154">
        <v>8</v>
      </c>
      <c r="T30" s="155"/>
      <c r="U30" s="155"/>
      <c r="V30" s="155"/>
      <c r="W30" s="128"/>
      <c r="X30" s="128"/>
      <c r="Y30" s="128"/>
      <c r="Z30" s="128"/>
      <c r="AA30" s="128"/>
      <c r="AB30" s="128"/>
      <c r="AC30" s="128"/>
      <c r="AD30" s="128"/>
      <c r="AE30" s="128"/>
      <c r="AF30" s="128"/>
      <c r="AG30" s="128"/>
      <c r="AH30" s="128"/>
      <c r="AI30" s="128"/>
      <c r="AJ30" s="128"/>
      <c r="AK30" s="162">
        <f t="shared" si="5"/>
        <v>18</v>
      </c>
      <c r="AS30" s="162">
        <v>0</v>
      </c>
      <c r="AT30" s="162">
        <v>0</v>
      </c>
      <c r="AU30" s="162">
        <v>0</v>
      </c>
      <c r="AV30" s="162">
        <v>0</v>
      </c>
      <c r="AW30" s="162">
        <v>0</v>
      </c>
      <c r="AX30" s="162">
        <v>0</v>
      </c>
      <c r="AY30" s="162">
        <v>0</v>
      </c>
      <c r="AZ30" s="162">
        <v>0</v>
      </c>
      <c r="BA30" s="162">
        <v>0</v>
      </c>
      <c r="BC30" s="162">
        <v>28</v>
      </c>
      <c r="BD30" s="162" t="s">
        <v>625</v>
      </c>
      <c r="BE30" s="162" t="s">
        <v>625</v>
      </c>
      <c r="BH30" s="162" t="s">
        <v>686</v>
      </c>
      <c r="BI30" s="162" t="s">
        <v>693</v>
      </c>
      <c r="BJ30" s="120" t="s">
        <v>706</v>
      </c>
      <c r="BL30" s="162" t="s">
        <v>679</v>
      </c>
      <c r="BM30" s="162" t="s">
        <v>424</v>
      </c>
      <c r="BN30" s="162">
        <v>85009</v>
      </c>
      <c r="BO30" s="125" t="s">
        <v>703</v>
      </c>
      <c r="CG30" s="165"/>
    </row>
    <row r="31" spans="1:85" s="162" customFormat="1" ht="13" thickBot="1" x14ac:dyDescent="0.3">
      <c r="A31" s="163"/>
      <c r="B31" s="162" t="s">
        <v>585</v>
      </c>
      <c r="E31" s="164">
        <v>46002</v>
      </c>
      <c r="F31" s="162" t="s">
        <v>618</v>
      </c>
      <c r="G31" s="119" t="s">
        <v>686</v>
      </c>
      <c r="H31" s="119" t="s">
        <v>572</v>
      </c>
      <c r="I31" s="125" t="s">
        <v>700</v>
      </c>
      <c r="K31" s="125" t="s">
        <v>629</v>
      </c>
      <c r="L31" s="162">
        <f t="shared" si="4"/>
        <v>825</v>
      </c>
      <c r="P31" s="160">
        <v>10</v>
      </c>
      <c r="Q31" s="158"/>
      <c r="R31" s="158"/>
      <c r="S31" s="159">
        <v>8</v>
      </c>
      <c r="T31" s="159">
        <v>9.5</v>
      </c>
      <c r="U31" s="158"/>
      <c r="V31" s="158"/>
      <c r="W31" s="128"/>
      <c r="X31" s="128"/>
      <c r="Y31" s="128"/>
      <c r="Z31" s="128"/>
      <c r="AA31" s="128"/>
      <c r="AB31" s="128"/>
      <c r="AC31" s="128"/>
      <c r="AD31" s="128"/>
      <c r="AE31" s="128"/>
      <c r="AF31" s="128"/>
      <c r="AG31" s="128"/>
      <c r="AH31" s="128"/>
      <c r="AI31" s="128"/>
      <c r="AJ31" s="128"/>
      <c r="AK31" s="162">
        <f t="shared" si="5"/>
        <v>27.5</v>
      </c>
      <c r="AS31" s="162">
        <v>0</v>
      </c>
      <c r="AT31" s="162">
        <v>0</v>
      </c>
      <c r="AU31" s="162">
        <v>0</v>
      </c>
      <c r="AV31" s="162">
        <v>0</v>
      </c>
      <c r="AW31" s="162">
        <v>0</v>
      </c>
      <c r="AX31" s="162">
        <v>0</v>
      </c>
      <c r="AY31" s="162">
        <v>0</v>
      </c>
      <c r="AZ31" s="162">
        <v>0</v>
      </c>
      <c r="BA31" s="162">
        <v>0</v>
      </c>
      <c r="BC31" s="162">
        <v>30</v>
      </c>
      <c r="BD31" s="162" t="s">
        <v>625</v>
      </c>
      <c r="BE31" s="162" t="s">
        <v>625</v>
      </c>
      <c r="BH31" s="162" t="s">
        <v>686</v>
      </c>
      <c r="BI31" s="162" t="s">
        <v>572</v>
      </c>
      <c r="BJ31" s="120" t="s">
        <v>707</v>
      </c>
      <c r="BL31" s="162" t="s">
        <v>679</v>
      </c>
      <c r="BM31" s="162" t="s">
        <v>424</v>
      </c>
      <c r="BN31" s="162">
        <v>85033</v>
      </c>
      <c r="BO31" s="125" t="s">
        <v>704</v>
      </c>
      <c r="CG31" s="165"/>
    </row>
    <row r="32" spans="1:85" s="162" customFormat="1" ht="13" thickBot="1" x14ac:dyDescent="0.3">
      <c r="A32" s="163"/>
      <c r="B32" s="162" t="s">
        <v>585</v>
      </c>
      <c r="E32" s="164">
        <v>46002</v>
      </c>
      <c r="F32" s="162" t="s">
        <v>618</v>
      </c>
      <c r="G32" s="119" t="s">
        <v>694</v>
      </c>
      <c r="H32" s="119" t="s">
        <v>564</v>
      </c>
      <c r="I32" s="120" t="s">
        <v>708</v>
      </c>
      <c r="K32" s="125" t="s">
        <v>629</v>
      </c>
      <c r="L32" s="162">
        <f t="shared" si="4"/>
        <v>639</v>
      </c>
      <c r="P32" s="153">
        <v>10</v>
      </c>
      <c r="Q32" s="154">
        <v>7.5</v>
      </c>
      <c r="R32" s="155"/>
      <c r="S32" s="154">
        <v>8</v>
      </c>
      <c r="T32" s="154">
        <v>10</v>
      </c>
      <c r="U32" s="155"/>
      <c r="V32" s="155"/>
      <c r="W32" s="128"/>
      <c r="X32" s="128"/>
      <c r="Y32" s="128"/>
      <c r="Z32" s="128"/>
      <c r="AA32" s="128"/>
      <c r="AB32" s="128"/>
      <c r="AC32" s="128"/>
      <c r="AD32" s="128"/>
      <c r="AE32" s="128"/>
      <c r="AF32" s="128"/>
      <c r="AG32" s="128"/>
      <c r="AH32" s="128"/>
      <c r="AI32" s="128"/>
      <c r="AJ32" s="128"/>
      <c r="AK32" s="162">
        <f t="shared" si="5"/>
        <v>35.5</v>
      </c>
      <c r="AS32" s="162">
        <v>0</v>
      </c>
      <c r="AT32" s="162">
        <v>0</v>
      </c>
      <c r="AU32" s="162">
        <v>0</v>
      </c>
      <c r="AV32" s="162">
        <v>0</v>
      </c>
      <c r="AW32" s="162">
        <v>0</v>
      </c>
      <c r="AX32" s="162">
        <v>0</v>
      </c>
      <c r="AY32" s="162">
        <v>0</v>
      </c>
      <c r="AZ32" s="162">
        <v>0</v>
      </c>
      <c r="BA32" s="162">
        <v>0</v>
      </c>
      <c r="BC32" s="162">
        <v>18</v>
      </c>
      <c r="BD32" s="162" t="s">
        <v>625</v>
      </c>
      <c r="BE32" s="162" t="s">
        <v>625</v>
      </c>
      <c r="BH32" s="162" t="s">
        <v>694</v>
      </c>
      <c r="BI32" s="162" t="s">
        <v>564</v>
      </c>
      <c r="BJ32" s="120" t="s">
        <v>710</v>
      </c>
      <c r="BL32" s="162" t="s">
        <v>711</v>
      </c>
      <c r="BM32" s="162" t="s">
        <v>424</v>
      </c>
      <c r="BN32" s="162">
        <v>85302</v>
      </c>
      <c r="BO32" s="120" t="s">
        <v>709</v>
      </c>
      <c r="CG32" s="165"/>
    </row>
    <row r="33" spans="1:85" s="162" customFormat="1" ht="13" thickBot="1" x14ac:dyDescent="0.3">
      <c r="A33" s="163"/>
      <c r="B33" s="162" t="s">
        <v>585</v>
      </c>
      <c r="E33" s="164">
        <v>46002</v>
      </c>
      <c r="F33" s="162" t="s">
        <v>618</v>
      </c>
      <c r="G33" s="119" t="s">
        <v>695</v>
      </c>
      <c r="H33" s="119" t="s">
        <v>696</v>
      </c>
      <c r="I33" s="161" t="s">
        <v>603</v>
      </c>
      <c r="K33" s="125" t="s">
        <v>629</v>
      </c>
      <c r="L33" s="162">
        <f t="shared" si="4"/>
        <v>630</v>
      </c>
      <c r="P33" s="160">
        <v>10</v>
      </c>
      <c r="Q33" s="159">
        <v>7.5</v>
      </c>
      <c r="R33" s="158"/>
      <c r="S33" s="159">
        <v>8</v>
      </c>
      <c r="T33" s="159">
        <v>9.5</v>
      </c>
      <c r="U33" s="158"/>
      <c r="V33" s="158"/>
      <c r="W33" s="128"/>
      <c r="X33" s="128"/>
      <c r="Y33" s="128"/>
      <c r="Z33" s="128"/>
      <c r="AA33" s="128"/>
      <c r="AB33" s="128"/>
      <c r="AC33" s="128"/>
      <c r="AD33" s="128"/>
      <c r="AE33" s="128"/>
      <c r="AF33" s="128"/>
      <c r="AG33" s="128"/>
      <c r="AH33" s="128"/>
      <c r="AI33" s="128"/>
      <c r="AJ33" s="128"/>
      <c r="AK33" s="162">
        <f t="shared" si="5"/>
        <v>35</v>
      </c>
      <c r="AS33" s="162">
        <v>0</v>
      </c>
      <c r="AT33" s="162">
        <v>0</v>
      </c>
      <c r="AU33" s="162">
        <v>0</v>
      </c>
      <c r="AV33" s="162">
        <v>0</v>
      </c>
      <c r="AW33" s="162">
        <v>0</v>
      </c>
      <c r="AX33" s="162">
        <v>0</v>
      </c>
      <c r="AY33" s="162">
        <v>0</v>
      </c>
      <c r="AZ33" s="162">
        <v>0</v>
      </c>
      <c r="BA33" s="162">
        <v>0</v>
      </c>
      <c r="BC33" s="162">
        <v>18</v>
      </c>
      <c r="BD33" s="162" t="s">
        <v>625</v>
      </c>
      <c r="BE33" s="162" t="s">
        <v>625</v>
      </c>
      <c r="BH33" s="162" t="s">
        <v>695</v>
      </c>
      <c r="BI33" s="162" t="s">
        <v>696</v>
      </c>
      <c r="BJ33" s="161" t="s">
        <v>675</v>
      </c>
      <c r="BK33" s="128"/>
      <c r="BL33" s="128" t="s">
        <v>677</v>
      </c>
      <c r="BM33" s="128" t="s">
        <v>651</v>
      </c>
      <c r="BN33" s="128">
        <v>87301</v>
      </c>
      <c r="BO33" s="161" t="s">
        <v>671</v>
      </c>
      <c r="CG33" s="165"/>
    </row>
    <row r="34" spans="1:85" s="130" customFormat="1" x14ac:dyDescent="0.25">
      <c r="A34" s="129"/>
      <c r="E34" s="131"/>
      <c r="CG34" s="132"/>
    </row>
    <row r="35" spans="1:85" x14ac:dyDescent="0.25">
      <c r="E35" s="117"/>
    </row>
    <row r="36" spans="1:85" x14ac:dyDescent="0.25">
      <c r="E36" s="117"/>
    </row>
    <row r="37" spans="1:85" x14ac:dyDescent="0.25">
      <c r="E37" s="117"/>
    </row>
    <row r="38" spans="1:85" x14ac:dyDescent="0.25">
      <c r="E38" s="117"/>
    </row>
    <row r="39" spans="1:85" x14ac:dyDescent="0.25">
      <c r="E39" s="117"/>
    </row>
    <row r="40" spans="1:85" x14ac:dyDescent="0.25">
      <c r="E40" s="117"/>
    </row>
    <row r="41" spans="1:85" x14ac:dyDescent="0.25">
      <c r="E41" s="117"/>
    </row>
    <row r="42" spans="1:85" x14ac:dyDescent="0.25">
      <c r="E42" s="117"/>
    </row>
    <row r="43" spans="1:85" x14ac:dyDescent="0.25">
      <c r="E43" s="117"/>
    </row>
    <row r="44" spans="1:85" x14ac:dyDescent="0.25">
      <c r="E44" s="117"/>
    </row>
    <row r="45" spans="1:85" x14ac:dyDescent="0.25">
      <c r="E45" s="117"/>
    </row>
    <row r="46" spans="1:85" x14ac:dyDescent="0.25">
      <c r="E46" s="117"/>
    </row>
    <row r="47" spans="1:85" x14ac:dyDescent="0.25">
      <c r="E47" s="117"/>
    </row>
    <row r="48" spans="1:85" x14ac:dyDescent="0.25">
      <c r="E48" s="117"/>
    </row>
    <row r="49" spans="5:5" x14ac:dyDescent="0.25">
      <c r="E49" s="117"/>
    </row>
    <row r="50" spans="5:5" x14ac:dyDescent="0.25">
      <c r="E50" s="117"/>
    </row>
    <row r="51" spans="5:5" x14ac:dyDescent="0.25">
      <c r="E51" s="117"/>
    </row>
    <row r="52" spans="5:5" x14ac:dyDescent="0.25">
      <c r="E52" s="117"/>
    </row>
    <row r="53" spans="5:5" x14ac:dyDescent="0.25">
      <c r="E53" s="117"/>
    </row>
    <row r="54" spans="5:5" x14ac:dyDescent="0.25">
      <c r="E54" s="117"/>
    </row>
    <row r="55" spans="5:5" x14ac:dyDescent="0.25">
      <c r="E55" s="117"/>
    </row>
    <row r="56" spans="5:5" x14ac:dyDescent="0.25">
      <c r="E56" s="117"/>
    </row>
    <row r="57" spans="5:5" x14ac:dyDescent="0.25">
      <c r="E57" s="117"/>
    </row>
    <row r="58" spans="5:5" x14ac:dyDescent="0.25">
      <c r="E58" s="117"/>
    </row>
    <row r="59" spans="5:5" x14ac:dyDescent="0.25">
      <c r="E59" s="117"/>
    </row>
    <row r="60" spans="5:5" x14ac:dyDescent="0.25">
      <c r="E60" s="117"/>
    </row>
    <row r="61" spans="5:5" x14ac:dyDescent="0.25">
      <c r="E61" s="117"/>
    </row>
    <row r="62" spans="5:5" x14ac:dyDescent="0.25">
      <c r="E62" s="117"/>
    </row>
    <row r="63" spans="5:5" x14ac:dyDescent="0.25">
      <c r="E63" s="117"/>
    </row>
    <row r="64" spans="5:5" x14ac:dyDescent="0.25">
      <c r="E64" s="117"/>
    </row>
    <row r="65" spans="5:5" x14ac:dyDescent="0.25">
      <c r="E65" s="117"/>
    </row>
    <row r="66" spans="5:5" x14ac:dyDescent="0.25">
      <c r="E66" s="117"/>
    </row>
    <row r="67" spans="5:5" x14ac:dyDescent="0.25">
      <c r="E67" s="117"/>
    </row>
    <row r="68" spans="5:5" x14ac:dyDescent="0.25">
      <c r="E68" s="117"/>
    </row>
    <row r="69" spans="5:5" x14ac:dyDescent="0.25">
      <c r="E69" s="117"/>
    </row>
    <row r="70" spans="5:5" x14ac:dyDescent="0.25">
      <c r="E70" s="117"/>
    </row>
    <row r="71" spans="5:5" x14ac:dyDescent="0.25">
      <c r="E71" s="117"/>
    </row>
    <row r="72" spans="5:5" x14ac:dyDescent="0.25">
      <c r="E72" s="117"/>
    </row>
    <row r="73" spans="5:5" x14ac:dyDescent="0.25">
      <c r="E73" s="117"/>
    </row>
    <row r="74" spans="5:5" x14ac:dyDescent="0.25">
      <c r="E74" s="117"/>
    </row>
    <row r="75" spans="5:5" x14ac:dyDescent="0.25">
      <c r="E75" s="117"/>
    </row>
    <row r="76" spans="5:5" x14ac:dyDescent="0.25">
      <c r="E76" s="117"/>
    </row>
    <row r="77" spans="5:5" x14ac:dyDescent="0.25">
      <c r="E77" s="117"/>
    </row>
    <row r="78" spans="5:5" x14ac:dyDescent="0.25">
      <c r="E78" s="117"/>
    </row>
    <row r="79" spans="5:5" x14ac:dyDescent="0.25">
      <c r="E79" s="117"/>
    </row>
    <row r="80" spans="5:5" x14ac:dyDescent="0.25">
      <c r="E80" s="117"/>
    </row>
    <row r="81" spans="5:60" x14ac:dyDescent="0.25">
      <c r="E81" s="117"/>
    </row>
    <row r="82" spans="5:60" x14ac:dyDescent="0.25">
      <c r="E82" s="117"/>
    </row>
    <row r="83" spans="5:60" x14ac:dyDescent="0.25">
      <c r="E83" s="117"/>
    </row>
    <row r="84" spans="5:60" x14ac:dyDescent="0.25">
      <c r="E84" s="117"/>
    </row>
    <row r="85" spans="5:60" x14ac:dyDescent="0.25">
      <c r="E85" s="117"/>
    </row>
    <row r="86" spans="5:60" x14ac:dyDescent="0.25">
      <c r="E86" s="117"/>
    </row>
    <row r="87" spans="5:60" x14ac:dyDescent="0.25">
      <c r="E87" s="117"/>
    </row>
    <row r="88" spans="5:60" x14ac:dyDescent="0.25">
      <c r="E88" s="117"/>
    </row>
    <row r="89" spans="5:60" x14ac:dyDescent="0.25">
      <c r="E89" s="117"/>
    </row>
    <row r="90" spans="5:60" x14ac:dyDescent="0.25">
      <c r="E90" s="117"/>
    </row>
    <row r="91" spans="5:60" x14ac:dyDescent="0.25">
      <c r="E91" s="117"/>
    </row>
    <row r="92" spans="5:60" x14ac:dyDescent="0.25">
      <c r="E92" s="117"/>
      <c r="BH92" s="118"/>
    </row>
    <row r="93" spans="5:60" x14ac:dyDescent="0.25">
      <c r="E93" s="117"/>
    </row>
    <row r="94" spans="5:60" x14ac:dyDescent="0.25">
      <c r="E94" s="117"/>
    </row>
    <row r="95" spans="5:60" x14ac:dyDescent="0.25">
      <c r="E95" s="117"/>
    </row>
    <row r="96" spans="5:60" x14ac:dyDescent="0.25">
      <c r="E96" s="117"/>
    </row>
    <row r="97" spans="5:5" x14ac:dyDescent="0.25">
      <c r="E97" s="117"/>
    </row>
    <row r="98" spans="5:5" x14ac:dyDescent="0.25">
      <c r="E98" s="117"/>
    </row>
    <row r="99" spans="5:5" x14ac:dyDescent="0.25">
      <c r="E99" s="117"/>
    </row>
    <row r="100" spans="5:5" x14ac:dyDescent="0.25">
      <c r="E100" s="117"/>
    </row>
    <row r="101" spans="5:5" x14ac:dyDescent="0.25">
      <c r="E101" s="117"/>
    </row>
    <row r="102" spans="5:5" x14ac:dyDescent="0.25">
      <c r="E102" s="117"/>
    </row>
    <row r="103" spans="5:5" x14ac:dyDescent="0.25">
      <c r="E103" s="117"/>
    </row>
    <row r="104" spans="5:5" x14ac:dyDescent="0.25">
      <c r="E104" s="117"/>
    </row>
    <row r="105" spans="5:5" x14ac:dyDescent="0.25">
      <c r="E105" s="117"/>
    </row>
    <row r="106" spans="5:5" x14ac:dyDescent="0.25">
      <c r="E106" s="117"/>
    </row>
    <row r="107" spans="5:5" x14ac:dyDescent="0.25">
      <c r="E107" s="117"/>
    </row>
    <row r="108" spans="5:5" x14ac:dyDescent="0.25">
      <c r="E108" s="117"/>
    </row>
    <row r="109" spans="5:5" x14ac:dyDescent="0.25">
      <c r="E109" s="117"/>
    </row>
    <row r="110" spans="5:5" x14ac:dyDescent="0.25">
      <c r="E110" s="117"/>
    </row>
    <row r="111" spans="5:5" x14ac:dyDescent="0.25">
      <c r="E111" s="117"/>
    </row>
    <row r="112" spans="5:5" x14ac:dyDescent="0.25">
      <c r="E112" s="117"/>
    </row>
    <row r="113" spans="5:5" x14ac:dyDescent="0.25">
      <c r="E113" s="117"/>
    </row>
    <row r="114" spans="5:5" x14ac:dyDescent="0.25">
      <c r="E114" s="117"/>
    </row>
    <row r="115" spans="5:5" x14ac:dyDescent="0.25">
      <c r="E115" s="117"/>
    </row>
    <row r="116" spans="5:5" x14ac:dyDescent="0.25">
      <c r="E116" s="117"/>
    </row>
    <row r="117" spans="5:5" x14ac:dyDescent="0.25">
      <c r="E117" s="117"/>
    </row>
    <row r="118" spans="5:5" x14ac:dyDescent="0.25">
      <c r="E118" s="117"/>
    </row>
    <row r="119" spans="5:5" x14ac:dyDescent="0.25">
      <c r="E119" s="117"/>
    </row>
    <row r="120" spans="5:5" x14ac:dyDescent="0.25">
      <c r="E120" s="117"/>
    </row>
    <row r="121" spans="5:5" x14ac:dyDescent="0.25">
      <c r="E121" s="117"/>
    </row>
    <row r="122" spans="5:5" x14ac:dyDescent="0.25">
      <c r="E122" s="117"/>
    </row>
    <row r="123" spans="5:5" x14ac:dyDescent="0.25">
      <c r="E123" s="117"/>
    </row>
    <row r="124" spans="5:5" x14ac:dyDescent="0.25">
      <c r="E124" s="117"/>
    </row>
    <row r="125" spans="5:5" x14ac:dyDescent="0.25">
      <c r="E125" s="117"/>
    </row>
    <row r="126" spans="5:5" x14ac:dyDescent="0.25">
      <c r="E126" s="117"/>
    </row>
    <row r="127" spans="5:5" x14ac:dyDescent="0.25">
      <c r="E127" s="117"/>
    </row>
    <row r="128" spans="5:5" x14ac:dyDescent="0.25">
      <c r="E128" s="117"/>
    </row>
    <row r="129" spans="5:5" x14ac:dyDescent="0.25">
      <c r="E129" s="117"/>
    </row>
    <row r="130" spans="5:5" x14ac:dyDescent="0.25">
      <c r="E130" s="117"/>
    </row>
    <row r="131" spans="5:5" x14ac:dyDescent="0.25">
      <c r="E131" s="117"/>
    </row>
    <row r="132" spans="5:5" x14ac:dyDescent="0.25">
      <c r="E132" s="117"/>
    </row>
    <row r="133" spans="5:5" x14ac:dyDescent="0.25">
      <c r="E133" s="117"/>
    </row>
    <row r="134" spans="5:5" x14ac:dyDescent="0.25">
      <c r="E134" s="117"/>
    </row>
    <row r="135" spans="5:5" x14ac:dyDescent="0.25">
      <c r="E135" s="117"/>
    </row>
    <row r="136" spans="5:5" x14ac:dyDescent="0.25">
      <c r="E136" s="117"/>
    </row>
    <row r="137" spans="5:5" x14ac:dyDescent="0.25">
      <c r="E137" s="117"/>
    </row>
    <row r="138" spans="5:5" x14ac:dyDescent="0.25">
      <c r="E138" s="117"/>
    </row>
    <row r="139" spans="5:5" x14ac:dyDescent="0.25">
      <c r="E139" s="117"/>
    </row>
    <row r="140" spans="5:5" x14ac:dyDescent="0.25">
      <c r="E140" s="117"/>
    </row>
    <row r="141" spans="5:5" x14ac:dyDescent="0.25">
      <c r="E141" s="117"/>
    </row>
    <row r="142" spans="5:5" x14ac:dyDescent="0.25">
      <c r="E142" s="117"/>
    </row>
    <row r="143" spans="5:5" x14ac:dyDescent="0.25">
      <c r="E143" s="117"/>
    </row>
    <row r="144" spans="5:5" x14ac:dyDescent="0.25">
      <c r="E144" s="117"/>
    </row>
    <row r="145" spans="5:5" x14ac:dyDescent="0.25">
      <c r="E145" s="117"/>
    </row>
    <row r="146" spans="5:5" x14ac:dyDescent="0.25">
      <c r="E146" s="117"/>
    </row>
    <row r="147" spans="5:5" x14ac:dyDescent="0.25">
      <c r="E147" s="117"/>
    </row>
    <row r="148" spans="5:5" x14ac:dyDescent="0.25">
      <c r="E148" s="117"/>
    </row>
    <row r="149" spans="5:5" x14ac:dyDescent="0.25">
      <c r="E149" s="117"/>
    </row>
    <row r="150" spans="5:5" x14ac:dyDescent="0.25">
      <c r="E150" s="117"/>
    </row>
    <row r="151" spans="5:5" x14ac:dyDescent="0.25">
      <c r="E151" s="117"/>
    </row>
    <row r="152" spans="5:5" x14ac:dyDescent="0.25">
      <c r="E152" s="117"/>
    </row>
    <row r="153" spans="5:5" x14ac:dyDescent="0.25">
      <c r="E153" s="117"/>
    </row>
    <row r="154" spans="5:5" x14ac:dyDescent="0.25">
      <c r="E154" s="117"/>
    </row>
    <row r="155" spans="5:5" x14ac:dyDescent="0.25">
      <c r="E155" s="117"/>
    </row>
    <row r="156" spans="5:5" x14ac:dyDescent="0.25">
      <c r="E156" s="117"/>
    </row>
    <row r="157" spans="5:5" x14ac:dyDescent="0.25">
      <c r="E157" s="117"/>
    </row>
    <row r="158" spans="5:5" x14ac:dyDescent="0.25">
      <c r="E158" s="117"/>
    </row>
    <row r="159" spans="5:5" x14ac:dyDescent="0.25">
      <c r="E159" s="117"/>
    </row>
    <row r="160" spans="5:5" x14ac:dyDescent="0.25">
      <c r="E160" s="117"/>
    </row>
    <row r="161" spans="5:22" x14ac:dyDescent="0.25">
      <c r="E161" s="117"/>
    </row>
    <row r="162" spans="5:22" x14ac:dyDescent="0.25">
      <c r="E162" s="117"/>
    </row>
    <row r="163" spans="5:22" x14ac:dyDescent="0.25">
      <c r="E163" s="117"/>
    </row>
    <row r="164" spans="5:22" x14ac:dyDescent="0.25">
      <c r="E164" s="117"/>
    </row>
    <row r="165" spans="5:22" x14ac:dyDescent="0.25">
      <c r="E165" s="117"/>
    </row>
    <row r="166" spans="5:22" x14ac:dyDescent="0.25">
      <c r="E166" s="117"/>
    </row>
    <row r="167" spans="5:22" x14ac:dyDescent="0.25">
      <c r="E167" s="117"/>
    </row>
    <row r="168" spans="5:22" x14ac:dyDescent="0.25">
      <c r="E168" s="117"/>
    </row>
    <row r="169" spans="5:22" x14ac:dyDescent="0.25">
      <c r="E169" s="117"/>
    </row>
    <row r="170" spans="5:22" x14ac:dyDescent="0.25">
      <c r="E170" s="117"/>
    </row>
    <row r="171" spans="5:22" x14ac:dyDescent="0.25">
      <c r="E171" s="117"/>
    </row>
    <row r="172" spans="5:22" x14ac:dyDescent="0.25">
      <c r="E172" s="117"/>
    </row>
    <row r="173" spans="5:22" x14ac:dyDescent="0.25">
      <c r="E173" s="117"/>
    </row>
    <row r="174" spans="5:22" x14ac:dyDescent="0.25">
      <c r="E174" s="117"/>
    </row>
    <row r="175" spans="5:22" x14ac:dyDescent="0.25">
      <c r="E175" s="117"/>
      <c r="P175" s="121"/>
      <c r="Q175" s="121"/>
      <c r="R175" s="121"/>
      <c r="S175" s="123"/>
      <c r="T175" s="123"/>
      <c r="U175" s="123"/>
      <c r="V175" s="123"/>
    </row>
    <row r="176" spans="5:22" x14ac:dyDescent="0.25">
      <c r="E176" s="117"/>
      <c r="P176" s="122"/>
      <c r="Q176" s="122"/>
      <c r="R176" s="122"/>
      <c r="S176" s="124"/>
      <c r="T176" s="124"/>
      <c r="U176" s="124"/>
      <c r="V176" s="124"/>
    </row>
  </sheetData>
  <autoFilter ref="A1:CZ176" xr:uid="{3EEBDBCB-6EFF-B840-AAF9-0FC373EF6B9B}">
    <sortState xmlns:xlrd2="http://schemas.microsoft.com/office/spreadsheetml/2017/richdata2" ref="A2:CZ176">
      <sortCondition descending="1" ref="E1:E176"/>
    </sortState>
  </autoFilter>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x14ac:dyDescent="0.25"/>
  <cols>
    <col min="1" max="1" width="106.1796875" style="6" bestFit="1" customWidth="1"/>
    <col min="2" max="16384" width="9.1796875" style="3"/>
  </cols>
  <sheetData>
    <row r="1" spans="1:1" ht="25" x14ac:dyDescent="0.5">
      <c r="A1" s="109" t="s">
        <v>95</v>
      </c>
    </row>
    <row r="3" spans="1:1" ht="20" x14ac:dyDescent="0.4">
      <c r="A3" s="110" t="s">
        <v>96</v>
      </c>
    </row>
    <row r="5" spans="1:1" x14ac:dyDescent="0.25">
      <c r="A5" s="111" t="s">
        <v>97</v>
      </c>
    </row>
    <row r="6" spans="1:1" x14ac:dyDescent="0.25">
      <c r="A6" s="111" t="s">
        <v>98</v>
      </c>
    </row>
    <row r="7" spans="1:1" x14ac:dyDescent="0.25">
      <c r="A7" s="111" t="s">
        <v>99</v>
      </c>
    </row>
    <row r="8" spans="1:1" x14ac:dyDescent="0.25">
      <c r="A8" s="111" t="s">
        <v>100</v>
      </c>
    </row>
    <row r="9" spans="1:1" x14ac:dyDescent="0.25">
      <c r="A9" s="111" t="s">
        <v>101</v>
      </c>
    </row>
    <row r="10" spans="1:1" x14ac:dyDescent="0.25">
      <c r="A10" s="111" t="s">
        <v>102</v>
      </c>
    </row>
    <row r="11" spans="1:1" x14ac:dyDescent="0.25">
      <c r="A11" s="111" t="s">
        <v>103</v>
      </c>
    </row>
    <row r="12" spans="1:1" x14ac:dyDescent="0.25">
      <c r="A12" s="111"/>
    </row>
    <row r="13" spans="1:1" ht="26" x14ac:dyDescent="0.3">
      <c r="A13" s="112" t="s">
        <v>104</v>
      </c>
    </row>
    <row r="14" spans="1:1" ht="13" x14ac:dyDescent="0.3">
      <c r="A14" s="112" t="s">
        <v>105</v>
      </c>
    </row>
    <row r="15" spans="1:1" x14ac:dyDescent="0.25">
      <c r="A15" s="111"/>
    </row>
    <row r="16" spans="1:1" ht="20" x14ac:dyDescent="0.4">
      <c r="A16" s="110" t="s">
        <v>106</v>
      </c>
    </row>
    <row r="18" spans="1:1" ht="17.5" x14ac:dyDescent="0.35">
      <c r="A18" s="113" t="s">
        <v>107</v>
      </c>
    </row>
    <row r="20" spans="1:1" ht="13" x14ac:dyDescent="0.3">
      <c r="A20" s="111" t="s">
        <v>108</v>
      </c>
    </row>
    <row r="21" spans="1:1" x14ac:dyDescent="0.25">
      <c r="A21" s="111" t="s">
        <v>109</v>
      </c>
    </row>
    <row r="22" spans="1:1" x14ac:dyDescent="0.25">
      <c r="A22" s="111" t="s">
        <v>110</v>
      </c>
    </row>
    <row r="23" spans="1:1" ht="13" x14ac:dyDescent="0.3">
      <c r="A23" s="111" t="s">
        <v>111</v>
      </c>
    </row>
    <row r="24" spans="1:1" x14ac:dyDescent="0.25">
      <c r="A24" s="111" t="s">
        <v>112</v>
      </c>
    </row>
    <row r="25" spans="1:1" ht="13" x14ac:dyDescent="0.3">
      <c r="A25" s="112" t="s">
        <v>113</v>
      </c>
    </row>
    <row r="26" spans="1:1" ht="13" x14ac:dyDescent="0.3">
      <c r="A26" s="111" t="s">
        <v>114</v>
      </c>
    </row>
    <row r="27" spans="1:1" ht="13" x14ac:dyDescent="0.3">
      <c r="A27" s="114" t="s">
        <v>115</v>
      </c>
    </row>
    <row r="28" spans="1:1" ht="13" x14ac:dyDescent="0.3">
      <c r="A28" s="111" t="s">
        <v>116</v>
      </c>
    </row>
    <row r="30" spans="1:1" ht="17.5" x14ac:dyDescent="0.35">
      <c r="A30" s="113" t="s">
        <v>117</v>
      </c>
    </row>
    <row r="31" spans="1:1" ht="13" x14ac:dyDescent="0.3">
      <c r="A31" s="115" t="s">
        <v>118</v>
      </c>
    </row>
    <row r="32" spans="1:1" x14ac:dyDescent="0.25">
      <c r="A32" s="111" t="s">
        <v>119</v>
      </c>
    </row>
    <row r="33" spans="1:1" x14ac:dyDescent="0.25">
      <c r="A33" s="111" t="s">
        <v>120</v>
      </c>
    </row>
    <row r="34" spans="1:1" ht="13" x14ac:dyDescent="0.3">
      <c r="A34" s="111" t="s">
        <v>121</v>
      </c>
    </row>
    <row r="35" spans="1:1" ht="25.5" x14ac:dyDescent="0.25">
      <c r="A35" s="111" t="s">
        <v>122</v>
      </c>
    </row>
    <row r="36" spans="1:1" ht="13" x14ac:dyDescent="0.3">
      <c r="A36" s="111" t="s">
        <v>123</v>
      </c>
    </row>
    <row r="37" spans="1:1" x14ac:dyDescent="0.25">
      <c r="A37" s="111" t="s">
        <v>124</v>
      </c>
    </row>
    <row r="38" spans="1:1" x14ac:dyDescent="0.25">
      <c r="A38" s="111" t="s">
        <v>125</v>
      </c>
    </row>
    <row r="39" spans="1:1" ht="13" x14ac:dyDescent="0.3">
      <c r="A39" s="111" t="s">
        <v>126</v>
      </c>
    </row>
    <row r="40" spans="1:1" ht="13" x14ac:dyDescent="0.3">
      <c r="A40" s="111" t="s">
        <v>127</v>
      </c>
    </row>
    <row r="41" spans="1:1" x14ac:dyDescent="0.25">
      <c r="A41" s="111" t="s">
        <v>128</v>
      </c>
    </row>
    <row r="42" spans="1:1" ht="13" x14ac:dyDescent="0.3">
      <c r="A42" s="111" t="s">
        <v>129</v>
      </c>
    </row>
    <row r="43" spans="1:1" ht="13" x14ac:dyDescent="0.3">
      <c r="A43" s="111" t="s">
        <v>130</v>
      </c>
    </row>
    <row r="44" spans="1:1" x14ac:dyDescent="0.25">
      <c r="A44" s="111" t="s">
        <v>131</v>
      </c>
    </row>
    <row r="45" spans="1:1" ht="13" x14ac:dyDescent="0.3">
      <c r="A45" s="114" t="s">
        <v>132</v>
      </c>
    </row>
    <row r="46" spans="1:1" x14ac:dyDescent="0.25">
      <c r="A46" s="111" t="s">
        <v>133</v>
      </c>
    </row>
    <row r="47" spans="1:1" ht="13" x14ac:dyDescent="0.3">
      <c r="A47" s="111" t="s">
        <v>134</v>
      </c>
    </row>
    <row r="48" spans="1:1" ht="13" x14ac:dyDescent="0.3">
      <c r="A48" s="111" t="s">
        <v>135</v>
      </c>
    </row>
    <row r="49" spans="1:1" ht="13" x14ac:dyDescent="0.3">
      <c r="A49" s="114" t="s">
        <v>136</v>
      </c>
    </row>
    <row r="50" spans="1:1" x14ac:dyDescent="0.25">
      <c r="A50" s="111" t="s">
        <v>137</v>
      </c>
    </row>
    <row r="51" spans="1:1" x14ac:dyDescent="0.25">
      <c r="A51" s="111" t="s">
        <v>138</v>
      </c>
    </row>
    <row r="52" spans="1:1" ht="13" x14ac:dyDescent="0.3">
      <c r="A52" s="114" t="s">
        <v>139</v>
      </c>
    </row>
    <row r="53" spans="1:1" ht="13" x14ac:dyDescent="0.3">
      <c r="A53" s="111" t="s">
        <v>140</v>
      </c>
    </row>
    <row r="54" spans="1:1" ht="13" x14ac:dyDescent="0.3">
      <c r="A54" s="111" t="s">
        <v>141</v>
      </c>
    </row>
    <row r="55" spans="1:1" ht="13" x14ac:dyDescent="0.3">
      <c r="A55" s="111" t="s">
        <v>142</v>
      </c>
    </row>
    <row r="56" spans="1:1" x14ac:dyDescent="0.25">
      <c r="A56" s="6" t="s">
        <v>143</v>
      </c>
    </row>
    <row r="58" spans="1:1" ht="50" x14ac:dyDescent="0.25">
      <c r="A58" s="6" t="s">
        <v>558</v>
      </c>
    </row>
    <row r="62" spans="1:1" ht="17.5" x14ac:dyDescent="0.35">
      <c r="A62" s="113" t="s">
        <v>144</v>
      </c>
    </row>
    <row r="64" spans="1:1" ht="13" x14ac:dyDescent="0.3">
      <c r="A64" s="111" t="s">
        <v>145</v>
      </c>
    </row>
    <row r="65" spans="1:1" ht="13" x14ac:dyDescent="0.3">
      <c r="A65" s="111" t="s">
        <v>146</v>
      </c>
    </row>
    <row r="66" spans="1:1" ht="13" x14ac:dyDescent="0.3">
      <c r="A66" s="111" t="s">
        <v>147</v>
      </c>
    </row>
    <row r="67" spans="1:1" x14ac:dyDescent="0.25">
      <c r="A67" s="111" t="s">
        <v>148</v>
      </c>
    </row>
    <row r="68" spans="1:1" ht="13" x14ac:dyDescent="0.3">
      <c r="A68" s="111" t="s">
        <v>149</v>
      </c>
    </row>
    <row r="69" spans="1:1" x14ac:dyDescent="0.25">
      <c r="A69" s="5" t="s">
        <v>150</v>
      </c>
    </row>
    <row r="70" spans="1:1" x14ac:dyDescent="0.25">
      <c r="A70" s="5" t="s">
        <v>151</v>
      </c>
    </row>
    <row r="71" spans="1:1" x14ac:dyDescent="0.25">
      <c r="A71" s="111" t="s">
        <v>152</v>
      </c>
    </row>
    <row r="72" spans="1:1" x14ac:dyDescent="0.25">
      <c r="A72" s="3" t="s">
        <v>153</v>
      </c>
    </row>
    <row r="73" spans="1:1" x14ac:dyDescent="0.25">
      <c r="A73" s="3" t="s">
        <v>154</v>
      </c>
    </row>
    <row r="74" spans="1:1" ht="13" x14ac:dyDescent="0.3">
      <c r="A74" s="111" t="s">
        <v>155</v>
      </c>
    </row>
    <row r="75" spans="1:1" ht="13" x14ac:dyDescent="0.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x14ac:dyDescent="0.25"/>
  <cols>
    <col min="1" max="16384" width="9.1796875" style="3"/>
  </cols>
  <sheetData>
    <row r="2" spans="2:26" x14ac:dyDescent="0.25">
      <c r="B2" s="7"/>
    </row>
    <row r="3" spans="2:26" x14ac:dyDescent="0.25">
      <c r="B3" s="8"/>
    </row>
    <row r="4" spans="2:26" ht="20" x14ac:dyDescent="0.4">
      <c r="B4" s="9" t="s">
        <v>157</v>
      </c>
    </row>
    <row r="5" spans="2:26" ht="20" x14ac:dyDescent="0.4">
      <c r="B5" s="9" t="s">
        <v>158</v>
      </c>
    </row>
    <row r="6" spans="2:26" ht="20" x14ac:dyDescent="0.4">
      <c r="B6" s="9" t="s">
        <v>159</v>
      </c>
    </row>
    <row r="7" spans="2:26" x14ac:dyDescent="0.25">
      <c r="B7" s="8"/>
    </row>
    <row r="9" spans="2:26" ht="15.5" x14ac:dyDescent="0.35">
      <c r="B9" s="10" t="s">
        <v>160</v>
      </c>
    </row>
    <row r="11" spans="2:26" s="12" customFormat="1" ht="14" x14ac:dyDescent="0.3">
      <c r="B11" s="11" t="s">
        <v>161</v>
      </c>
      <c r="C11" s="138" t="s">
        <v>162</v>
      </c>
      <c r="D11" s="138"/>
      <c r="E11" s="138"/>
      <c r="F11" s="138"/>
      <c r="G11" s="138"/>
      <c r="H11" s="138"/>
      <c r="I11" s="138"/>
      <c r="J11" s="138"/>
      <c r="K11" s="138"/>
      <c r="L11" s="138"/>
      <c r="M11" s="138"/>
    </row>
    <row r="12" spans="2:26" s="12" customFormat="1" ht="14" x14ac:dyDescent="0.3">
      <c r="B12" s="13"/>
      <c r="C12" s="14" t="s">
        <v>163</v>
      </c>
      <c r="D12" s="138" t="s">
        <v>164</v>
      </c>
      <c r="E12" s="138"/>
      <c r="F12" s="138"/>
      <c r="G12" s="138"/>
      <c r="H12" s="138"/>
      <c r="I12" s="138"/>
      <c r="J12" s="138"/>
      <c r="K12" s="138"/>
      <c r="L12" s="138"/>
    </row>
    <row r="13" spans="2:26" s="12" customFormat="1" ht="14" x14ac:dyDescent="0.3">
      <c r="B13" s="13"/>
      <c r="C13" s="14" t="s">
        <v>165</v>
      </c>
      <c r="D13" s="138" t="s">
        <v>166</v>
      </c>
      <c r="E13" s="138"/>
      <c r="F13" s="138"/>
      <c r="G13" s="138"/>
      <c r="H13" s="138"/>
      <c r="I13" s="138"/>
      <c r="J13" s="138"/>
      <c r="K13" s="138"/>
      <c r="L13" s="138"/>
    </row>
    <row r="14" spans="2:26" s="12" customFormat="1" ht="14" x14ac:dyDescent="0.3">
      <c r="B14" s="13"/>
      <c r="C14" s="14" t="s">
        <v>167</v>
      </c>
      <c r="D14" s="138" t="s">
        <v>168</v>
      </c>
      <c r="E14" s="138"/>
      <c r="F14" s="138"/>
      <c r="G14" s="138"/>
      <c r="H14" s="138"/>
      <c r="I14" s="138"/>
      <c r="J14" s="138"/>
      <c r="K14" s="138"/>
      <c r="L14" s="138"/>
    </row>
    <row r="15" spans="2:26" s="12" customFormat="1" ht="14.5" x14ac:dyDescent="0.35">
      <c r="B15" s="13"/>
      <c r="C15" s="14" t="s">
        <v>169</v>
      </c>
      <c r="D15" s="12" t="s">
        <v>170</v>
      </c>
    </row>
    <row r="16" spans="2:26" s="12" customFormat="1" ht="14" x14ac:dyDescent="0.3">
      <c r="B16" s="11" t="s">
        <v>171</v>
      </c>
      <c r="C16" s="139" t="s">
        <v>172</v>
      </c>
      <c r="D16" s="139"/>
      <c r="E16" s="139"/>
      <c r="F16" s="139"/>
      <c r="G16" s="139"/>
      <c r="H16" s="139"/>
      <c r="I16" s="139"/>
      <c r="J16" s="139"/>
      <c r="K16" s="139"/>
      <c r="L16" s="139"/>
      <c r="M16" s="139"/>
      <c r="N16" s="139"/>
      <c r="O16" s="139"/>
      <c r="P16" s="139"/>
      <c r="Q16" s="139"/>
      <c r="R16" s="139"/>
      <c r="S16" s="139"/>
      <c r="T16" s="139"/>
      <c r="U16" s="139"/>
      <c r="V16" s="139"/>
      <c r="W16" s="139"/>
      <c r="X16" s="139"/>
      <c r="Y16" s="139"/>
      <c r="Z16" s="139"/>
    </row>
    <row r="17" spans="2:12" s="12" customFormat="1" ht="14" x14ac:dyDescent="0.3">
      <c r="B17" s="13"/>
      <c r="C17" s="14" t="s">
        <v>163</v>
      </c>
      <c r="D17" s="138" t="s">
        <v>164</v>
      </c>
      <c r="E17" s="138"/>
      <c r="F17" s="138"/>
      <c r="G17" s="138"/>
      <c r="H17" s="138"/>
      <c r="I17" s="138"/>
      <c r="J17" s="138"/>
      <c r="K17" s="138"/>
      <c r="L17" s="138"/>
    </row>
    <row r="18" spans="2:12" s="12" customFormat="1" ht="14" x14ac:dyDescent="0.3">
      <c r="B18" s="13"/>
      <c r="C18" s="14" t="s">
        <v>165</v>
      </c>
      <c r="D18" s="138" t="s">
        <v>166</v>
      </c>
      <c r="E18" s="138"/>
      <c r="F18" s="138"/>
      <c r="G18" s="138"/>
      <c r="H18" s="138"/>
      <c r="I18" s="138"/>
      <c r="J18" s="138"/>
      <c r="K18" s="138"/>
      <c r="L18" s="138"/>
    </row>
    <row r="19" spans="2:12" s="12" customFormat="1" ht="14" x14ac:dyDescent="0.3">
      <c r="B19" s="13"/>
      <c r="C19" s="14" t="s">
        <v>167</v>
      </c>
      <c r="D19" s="12" t="s">
        <v>173</v>
      </c>
    </row>
    <row r="20" spans="2:12" s="12" customFormat="1" ht="14" x14ac:dyDescent="0.3"/>
    <row r="21" spans="2:12" s="12" customFormat="1" ht="14" x14ac:dyDescent="0.3">
      <c r="B21" s="12" t="s">
        <v>174</v>
      </c>
    </row>
    <row r="25" spans="2:12" x14ac:dyDescent="0.25">
      <c r="B25" s="90" t="s">
        <v>508</v>
      </c>
    </row>
    <row r="26" spans="2:12" x14ac:dyDescent="0.25">
      <c r="B26" s="137" t="s">
        <v>512</v>
      </c>
      <c r="C26" s="137"/>
      <c r="D26" s="3" t="s">
        <v>509</v>
      </c>
    </row>
    <row r="27" spans="2:12" x14ac:dyDescent="0.25">
      <c r="B27" s="137" t="s">
        <v>513</v>
      </c>
      <c r="C27" s="137"/>
      <c r="D27" s="3" t="s">
        <v>510</v>
      </c>
    </row>
    <row r="28" spans="2:12" x14ac:dyDescent="0.25">
      <c r="B28" s="137" t="s">
        <v>514</v>
      </c>
      <c r="C28" s="137"/>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x14ac:dyDescent="0.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x14ac:dyDescent="0.3">
      <c r="A2" s="144" t="s">
        <v>232</v>
      </c>
      <c r="B2" s="144"/>
      <c r="C2" s="144"/>
      <c r="D2" s="144"/>
      <c r="E2" s="144"/>
      <c r="F2" s="144"/>
      <c r="G2" s="145"/>
    </row>
    <row r="3" spans="1:8" ht="26.5" thickBot="1" x14ac:dyDescent="0.3">
      <c r="D3" s="79"/>
      <c r="E3" s="80" t="s">
        <v>233</v>
      </c>
      <c r="G3" s="26"/>
    </row>
    <row r="4" spans="1:8" ht="18.75" customHeight="1" thickBot="1" x14ac:dyDescent="0.35">
      <c r="B4" s="53"/>
      <c r="C4" s="53"/>
      <c r="D4" s="85"/>
      <c r="E4" s="93" t="s">
        <v>365</v>
      </c>
      <c r="G4" s="26"/>
    </row>
    <row r="5" spans="1:8" ht="19.399999999999999" customHeight="1" thickBot="1" x14ac:dyDescent="0.3">
      <c r="D5" s="81"/>
      <c r="E5" s="80" t="s">
        <v>542</v>
      </c>
      <c r="G5" s="26"/>
    </row>
    <row r="6" spans="1:8" ht="20.9" customHeight="1" thickBot="1" x14ac:dyDescent="0.3">
      <c r="D6" s="82"/>
      <c r="E6" s="80" t="s">
        <v>541</v>
      </c>
      <c r="G6" s="26"/>
    </row>
    <row r="7" spans="1:8" ht="39.5" thickBot="1" x14ac:dyDescent="0.35">
      <c r="B7" s="23" t="s">
        <v>364</v>
      </c>
      <c r="D7" s="83"/>
      <c r="E7" s="80" t="s">
        <v>506</v>
      </c>
      <c r="G7" s="26"/>
      <c r="H7" s="86"/>
    </row>
    <row r="8" spans="1:8" ht="42.75" customHeight="1" thickBot="1" x14ac:dyDescent="0.3">
      <c r="D8" s="84"/>
      <c r="E8" s="80" t="s">
        <v>551</v>
      </c>
      <c r="G8" s="24"/>
    </row>
    <row r="9" spans="1:8" ht="42.65" customHeight="1" thickBot="1" x14ac:dyDescent="0.3">
      <c r="D9" s="99"/>
      <c r="E9" s="94" t="s">
        <v>550</v>
      </c>
      <c r="F9" s="98"/>
      <c r="G9" s="24"/>
    </row>
    <row r="10" spans="1:8" s="67" customFormat="1" ht="35" thickBot="1" x14ac:dyDescent="0.4">
      <c r="A10" s="70" t="s">
        <v>477</v>
      </c>
      <c r="B10" s="71" t="s">
        <v>234</v>
      </c>
      <c r="C10" s="72" t="s">
        <v>372</v>
      </c>
      <c r="D10" s="72" t="s">
        <v>481</v>
      </c>
      <c r="E10" s="71" t="s">
        <v>482</v>
      </c>
      <c r="F10" s="71" t="s">
        <v>235</v>
      </c>
      <c r="G10" s="73" t="s">
        <v>236</v>
      </c>
    </row>
    <row r="11" spans="1:8" ht="13" x14ac:dyDescent="0.25">
      <c r="A11" s="29"/>
      <c r="B11" s="29"/>
      <c r="C11" s="68" t="s">
        <v>373</v>
      </c>
      <c r="D11" s="69" t="s">
        <v>0</v>
      </c>
      <c r="E11" s="19" t="s">
        <v>237</v>
      </c>
      <c r="F11" s="29" t="s">
        <v>238</v>
      </c>
      <c r="G11" s="30">
        <v>12</v>
      </c>
      <c r="H11" s="151" t="s">
        <v>505</v>
      </c>
    </row>
    <row r="12" spans="1:8" ht="87.5" x14ac:dyDescent="0.25">
      <c r="A12" s="15" t="s">
        <v>239</v>
      </c>
      <c r="B12" s="34" t="s">
        <v>240</v>
      </c>
      <c r="C12" s="55" t="s">
        <v>374</v>
      </c>
      <c r="D12" s="43" t="s">
        <v>1</v>
      </c>
      <c r="E12" s="17" t="s">
        <v>241</v>
      </c>
      <c r="F12" s="15" t="s">
        <v>242</v>
      </c>
      <c r="G12" s="18">
        <v>50</v>
      </c>
      <c r="H12" s="151"/>
    </row>
    <row r="13" spans="1:8" ht="72" customHeight="1" x14ac:dyDescent="0.25">
      <c r="A13" s="15" t="s">
        <v>243</v>
      </c>
      <c r="B13" s="15" t="s">
        <v>244</v>
      </c>
      <c r="C13" s="55" t="s">
        <v>375</v>
      </c>
      <c r="D13" s="43" t="s">
        <v>2</v>
      </c>
      <c r="E13" s="17" t="s">
        <v>245</v>
      </c>
      <c r="F13" s="15" t="s">
        <v>242</v>
      </c>
      <c r="G13" s="18">
        <v>50</v>
      </c>
      <c r="H13" s="147"/>
    </row>
    <row r="14" spans="1:8" ht="50" x14ac:dyDescent="0.25">
      <c r="A14" s="15" t="s">
        <v>246</v>
      </c>
      <c r="B14" s="15" t="s">
        <v>247</v>
      </c>
      <c r="C14" s="55" t="s">
        <v>376</v>
      </c>
      <c r="D14" s="43" t="s">
        <v>3</v>
      </c>
      <c r="E14" s="17" t="s">
        <v>248</v>
      </c>
      <c r="F14" s="15" t="s">
        <v>242</v>
      </c>
      <c r="G14" s="18">
        <v>50</v>
      </c>
      <c r="H14" s="147"/>
    </row>
    <row r="15" spans="1:8" ht="50" x14ac:dyDescent="0.25">
      <c r="A15" s="15" t="s">
        <v>249</v>
      </c>
      <c r="B15" s="15" t="s">
        <v>250</v>
      </c>
      <c r="C15" s="56" t="s">
        <v>377</v>
      </c>
      <c r="D15" s="44" t="s">
        <v>4</v>
      </c>
      <c r="E15" s="17" t="s">
        <v>251</v>
      </c>
      <c r="F15" s="15" t="s">
        <v>252</v>
      </c>
      <c r="G15" s="18">
        <v>12</v>
      </c>
    </row>
    <row r="16" spans="1:8" ht="13" x14ac:dyDescent="0.25">
      <c r="A16" s="15" t="s">
        <v>253</v>
      </c>
      <c r="B16" s="15" t="s">
        <v>254</v>
      </c>
      <c r="C16" s="56" t="s">
        <v>378</v>
      </c>
      <c r="D16" s="44" t="s">
        <v>5</v>
      </c>
      <c r="E16" s="17" t="s">
        <v>255</v>
      </c>
      <c r="F16" s="15" t="s">
        <v>256</v>
      </c>
      <c r="G16" s="18">
        <v>12</v>
      </c>
    </row>
    <row r="17" spans="1:8" ht="100" x14ac:dyDescent="0.3">
      <c r="A17" s="15" t="s">
        <v>257</v>
      </c>
      <c r="B17" s="15" t="s">
        <v>480</v>
      </c>
      <c r="C17" s="57" t="s">
        <v>379</v>
      </c>
      <c r="D17" s="44" t="s">
        <v>6</v>
      </c>
      <c r="E17" s="17" t="s">
        <v>258</v>
      </c>
      <c r="F17" s="15" t="s">
        <v>259</v>
      </c>
      <c r="G17" s="18">
        <v>11</v>
      </c>
      <c r="H17" s="28" t="s">
        <v>523</v>
      </c>
    </row>
    <row r="18" spans="1:8" ht="80.25" customHeight="1" x14ac:dyDescent="0.3">
      <c r="A18" s="15" t="s">
        <v>483</v>
      </c>
      <c r="B18" s="17" t="s">
        <v>261</v>
      </c>
      <c r="C18" s="57" t="s">
        <v>380</v>
      </c>
      <c r="D18" s="44" t="s">
        <v>260</v>
      </c>
      <c r="E18" s="17" t="s">
        <v>262</v>
      </c>
      <c r="F18" s="15"/>
      <c r="G18" s="18"/>
      <c r="H18" s="28" t="s">
        <v>523</v>
      </c>
    </row>
    <row r="19" spans="1:8" ht="87.5" x14ac:dyDescent="0.25">
      <c r="A19" s="15" t="s">
        <v>263</v>
      </c>
      <c r="B19" s="15" t="s">
        <v>264</v>
      </c>
      <c r="C19" s="57" t="s">
        <v>381</v>
      </c>
      <c r="D19" s="44" t="s">
        <v>8</v>
      </c>
      <c r="E19" s="17" t="s">
        <v>265</v>
      </c>
      <c r="F19" s="15" t="s">
        <v>266</v>
      </c>
      <c r="G19" s="18">
        <v>12</v>
      </c>
    </row>
    <row r="20" spans="1:8" ht="127.5" customHeight="1" x14ac:dyDescent="0.25">
      <c r="A20" s="15" t="s">
        <v>489</v>
      </c>
      <c r="B20" s="15" t="s">
        <v>524</v>
      </c>
      <c r="C20" s="57" t="s">
        <v>382</v>
      </c>
      <c r="D20" s="44" t="s">
        <v>9</v>
      </c>
      <c r="E20" s="17" t="s">
        <v>267</v>
      </c>
      <c r="F20" s="15" t="s">
        <v>268</v>
      </c>
      <c r="G20" s="18">
        <v>16</v>
      </c>
    </row>
    <row r="21" spans="1:8" ht="82.5" customHeight="1" x14ac:dyDescent="0.25">
      <c r="A21" s="15" t="s">
        <v>269</v>
      </c>
      <c r="B21" s="15" t="s">
        <v>270</v>
      </c>
      <c r="C21" s="57" t="s">
        <v>383</v>
      </c>
      <c r="D21" s="44" t="s">
        <v>10</v>
      </c>
      <c r="E21" s="17" t="s">
        <v>271</v>
      </c>
      <c r="F21" s="15" t="s">
        <v>268</v>
      </c>
      <c r="G21" s="18">
        <v>16</v>
      </c>
    </row>
    <row r="22" spans="1:8" ht="37.5" x14ac:dyDescent="0.25">
      <c r="A22" s="15" t="s">
        <v>525</v>
      </c>
      <c r="B22" s="15" t="s">
        <v>272</v>
      </c>
      <c r="C22" s="58" t="s">
        <v>384</v>
      </c>
      <c r="D22" s="45" t="s">
        <v>11</v>
      </c>
      <c r="E22" s="17" t="s">
        <v>273</v>
      </c>
      <c r="F22" s="15" t="s">
        <v>268</v>
      </c>
      <c r="G22" s="18">
        <v>16</v>
      </c>
    </row>
    <row r="23" spans="1:8" ht="50" x14ac:dyDescent="0.25">
      <c r="A23" s="15" t="s">
        <v>490</v>
      </c>
      <c r="B23" s="15" t="s">
        <v>274</v>
      </c>
      <c r="C23" s="57" t="s">
        <v>385</v>
      </c>
      <c r="D23" s="44" t="s">
        <v>12</v>
      </c>
      <c r="E23" s="17" t="s">
        <v>275</v>
      </c>
      <c r="F23" s="15" t="s">
        <v>268</v>
      </c>
      <c r="G23" s="18">
        <v>16</v>
      </c>
    </row>
    <row r="24" spans="1:8" ht="13" x14ac:dyDescent="0.25">
      <c r="A24" s="15"/>
      <c r="B24" s="15"/>
      <c r="C24" s="59" t="s">
        <v>386</v>
      </c>
      <c r="D24" s="46" t="s">
        <v>13</v>
      </c>
      <c r="E24" s="17" t="s">
        <v>276</v>
      </c>
      <c r="F24" s="15" t="s">
        <v>268</v>
      </c>
      <c r="G24" s="18">
        <v>16</v>
      </c>
    </row>
    <row r="25" spans="1:8" ht="13" x14ac:dyDescent="0.25">
      <c r="A25" s="15"/>
      <c r="B25" s="15"/>
      <c r="C25" s="59" t="s">
        <v>398</v>
      </c>
      <c r="D25" s="46" t="s">
        <v>14</v>
      </c>
      <c r="E25" s="17" t="s">
        <v>277</v>
      </c>
      <c r="F25" s="15" t="s">
        <v>268</v>
      </c>
      <c r="G25" s="18">
        <v>16</v>
      </c>
    </row>
    <row r="26" spans="1:8" ht="13" x14ac:dyDescent="0.25">
      <c r="A26" s="15"/>
      <c r="B26" s="15"/>
      <c r="C26" s="59" t="s">
        <v>387</v>
      </c>
      <c r="D26" s="46" t="s">
        <v>15</v>
      </c>
      <c r="E26" s="17" t="s">
        <v>278</v>
      </c>
      <c r="F26" s="15" t="s">
        <v>268</v>
      </c>
      <c r="G26" s="18">
        <v>16</v>
      </c>
    </row>
    <row r="27" spans="1:8" ht="13" x14ac:dyDescent="0.25">
      <c r="A27" s="15"/>
      <c r="B27" s="15"/>
      <c r="C27" s="59" t="s">
        <v>388</v>
      </c>
      <c r="D27" s="46" t="s">
        <v>16</v>
      </c>
      <c r="E27" s="17" t="s">
        <v>279</v>
      </c>
      <c r="F27" s="15" t="s">
        <v>268</v>
      </c>
      <c r="G27" s="18">
        <v>16</v>
      </c>
    </row>
    <row r="28" spans="1:8" ht="13" x14ac:dyDescent="0.25">
      <c r="A28" s="15"/>
      <c r="B28" s="15"/>
      <c r="C28" s="59" t="s">
        <v>389</v>
      </c>
      <c r="D28" s="46" t="s">
        <v>17</v>
      </c>
      <c r="E28" s="17" t="s">
        <v>280</v>
      </c>
      <c r="F28" s="15" t="s">
        <v>268</v>
      </c>
      <c r="G28" s="18">
        <v>16</v>
      </c>
    </row>
    <row r="29" spans="1:8" ht="13" x14ac:dyDescent="0.25">
      <c r="A29" s="15"/>
      <c r="B29" s="15"/>
      <c r="C29" s="59" t="s">
        <v>390</v>
      </c>
      <c r="D29" s="46" t="s">
        <v>18</v>
      </c>
      <c r="E29" s="17" t="s">
        <v>281</v>
      </c>
      <c r="F29" s="15" t="s">
        <v>268</v>
      </c>
      <c r="G29" s="18">
        <v>16</v>
      </c>
    </row>
    <row r="30" spans="1:8" ht="13" x14ac:dyDescent="0.25">
      <c r="A30" s="15"/>
      <c r="B30" s="15"/>
      <c r="C30" s="59" t="s">
        <v>391</v>
      </c>
      <c r="D30" s="46" t="s">
        <v>19</v>
      </c>
      <c r="E30" s="17" t="s">
        <v>282</v>
      </c>
      <c r="F30" s="15" t="s">
        <v>268</v>
      </c>
      <c r="G30" s="18">
        <v>16</v>
      </c>
    </row>
    <row r="31" spans="1:8" ht="13" x14ac:dyDescent="0.25">
      <c r="A31" s="15"/>
      <c r="B31" s="15"/>
      <c r="C31" s="59" t="s">
        <v>392</v>
      </c>
      <c r="D31" s="46" t="s">
        <v>20</v>
      </c>
      <c r="E31" s="17" t="s">
        <v>283</v>
      </c>
      <c r="F31" s="15" t="s">
        <v>268</v>
      </c>
      <c r="G31" s="18">
        <v>16</v>
      </c>
    </row>
    <row r="32" spans="1:8" ht="13" x14ac:dyDescent="0.25">
      <c r="A32" s="15"/>
      <c r="B32" s="15"/>
      <c r="C32" s="59" t="s">
        <v>393</v>
      </c>
      <c r="D32" s="46" t="s">
        <v>21</v>
      </c>
      <c r="E32" s="17" t="s">
        <v>284</v>
      </c>
      <c r="F32" s="15" t="s">
        <v>268</v>
      </c>
      <c r="G32" s="18">
        <v>16</v>
      </c>
    </row>
    <row r="33" spans="1:10" ht="13" x14ac:dyDescent="0.25">
      <c r="A33" s="15"/>
      <c r="B33" s="15"/>
      <c r="C33" s="59" t="s">
        <v>394</v>
      </c>
      <c r="D33" s="46" t="s">
        <v>22</v>
      </c>
      <c r="E33" s="17" t="s">
        <v>285</v>
      </c>
      <c r="F33" s="15" t="s">
        <v>268</v>
      </c>
      <c r="G33" s="18">
        <v>16</v>
      </c>
    </row>
    <row r="34" spans="1:10" ht="13" x14ac:dyDescent="0.25">
      <c r="A34" s="27"/>
      <c r="B34" s="15"/>
      <c r="C34" s="59" t="s">
        <v>395</v>
      </c>
      <c r="D34" s="46" t="s">
        <v>23</v>
      </c>
      <c r="E34" s="17" t="s">
        <v>286</v>
      </c>
      <c r="F34" s="15" t="s">
        <v>268</v>
      </c>
      <c r="G34" s="18">
        <v>16</v>
      </c>
    </row>
    <row r="35" spans="1:10" ht="13" x14ac:dyDescent="0.25">
      <c r="A35" s="27"/>
      <c r="B35" s="15"/>
      <c r="C35" s="59" t="s">
        <v>396</v>
      </c>
      <c r="D35" s="46" t="s">
        <v>24</v>
      </c>
      <c r="E35" s="17" t="s">
        <v>287</v>
      </c>
      <c r="F35" s="15" t="s">
        <v>268</v>
      </c>
      <c r="G35" s="18">
        <v>16</v>
      </c>
    </row>
    <row r="36" spans="1:10" ht="13" x14ac:dyDescent="0.25">
      <c r="A36" s="27"/>
      <c r="B36" s="15"/>
      <c r="C36" s="59" t="s">
        <v>397</v>
      </c>
      <c r="D36" s="46" t="s">
        <v>25</v>
      </c>
      <c r="E36" s="17" t="s">
        <v>288</v>
      </c>
      <c r="F36" s="15" t="s">
        <v>268</v>
      </c>
      <c r="G36" s="18">
        <v>16</v>
      </c>
    </row>
    <row r="37" spans="1:10" ht="13" x14ac:dyDescent="0.25">
      <c r="A37" s="27"/>
      <c r="B37" s="15"/>
      <c r="C37" s="59" t="s">
        <v>399</v>
      </c>
      <c r="D37" s="46" t="s">
        <v>26</v>
      </c>
      <c r="E37" s="17" t="s">
        <v>289</v>
      </c>
      <c r="F37" s="15" t="s">
        <v>268</v>
      </c>
      <c r="G37" s="18">
        <v>16</v>
      </c>
    </row>
    <row r="38" spans="1:10" ht="13" x14ac:dyDescent="0.25">
      <c r="A38" s="27"/>
      <c r="B38" s="15"/>
      <c r="C38" s="59" t="s">
        <v>400</v>
      </c>
      <c r="D38" s="46" t="s">
        <v>27</v>
      </c>
      <c r="E38" s="17" t="s">
        <v>290</v>
      </c>
      <c r="F38" s="15" t="s">
        <v>268</v>
      </c>
      <c r="G38" s="18">
        <v>16</v>
      </c>
    </row>
    <row r="39" spans="1:10" ht="13" x14ac:dyDescent="0.25">
      <c r="A39" s="27"/>
      <c r="B39" s="15"/>
      <c r="C39" s="59" t="s">
        <v>401</v>
      </c>
      <c r="D39" s="46" t="s">
        <v>28</v>
      </c>
      <c r="E39" s="17" t="s">
        <v>291</v>
      </c>
      <c r="F39" s="15" t="s">
        <v>268</v>
      </c>
      <c r="G39" s="18">
        <v>16</v>
      </c>
    </row>
    <row r="40" spans="1:10" ht="13" x14ac:dyDescent="0.25">
      <c r="A40" s="27"/>
      <c r="B40" s="15"/>
      <c r="C40" s="59" t="s">
        <v>402</v>
      </c>
      <c r="D40" s="46" t="s">
        <v>29</v>
      </c>
      <c r="E40" s="17" t="s">
        <v>292</v>
      </c>
      <c r="F40" s="15" t="s">
        <v>268</v>
      </c>
      <c r="G40" s="18">
        <v>16</v>
      </c>
    </row>
    <row r="41" spans="1:10" ht="13" x14ac:dyDescent="0.25">
      <c r="A41" s="27"/>
      <c r="B41" s="15"/>
      <c r="C41" s="59" t="s">
        <v>403</v>
      </c>
      <c r="D41" s="46" t="s">
        <v>30</v>
      </c>
      <c r="E41" s="17" t="s">
        <v>293</v>
      </c>
      <c r="F41" s="15" t="s">
        <v>268</v>
      </c>
      <c r="G41" s="18">
        <v>16</v>
      </c>
    </row>
    <row r="42" spans="1:10" ht="13" x14ac:dyDescent="0.25">
      <c r="A42" s="27"/>
      <c r="B42" s="15"/>
      <c r="C42" s="59" t="s">
        <v>404</v>
      </c>
      <c r="D42" s="46" t="s">
        <v>31</v>
      </c>
      <c r="E42" s="17" t="s">
        <v>294</v>
      </c>
      <c r="F42" s="15" t="s">
        <v>268</v>
      </c>
      <c r="G42" s="18">
        <v>16</v>
      </c>
    </row>
    <row r="43" spans="1:10" ht="13" x14ac:dyDescent="0.25">
      <c r="A43" s="27"/>
      <c r="B43" s="15"/>
      <c r="C43" s="59" t="s">
        <v>405</v>
      </c>
      <c r="D43" s="46" t="s">
        <v>32</v>
      </c>
      <c r="E43" s="17" t="s">
        <v>295</v>
      </c>
      <c r="F43" s="15" t="s">
        <v>268</v>
      </c>
      <c r="G43" s="18">
        <v>16</v>
      </c>
    </row>
    <row r="44" spans="1:10" ht="13" x14ac:dyDescent="0.25">
      <c r="A44" s="47"/>
      <c r="B44" s="15"/>
      <c r="C44" s="59" t="s">
        <v>406</v>
      </c>
      <c r="D44" s="46" t="s">
        <v>33</v>
      </c>
      <c r="E44" s="17" t="s">
        <v>296</v>
      </c>
      <c r="F44" s="15" t="s">
        <v>268</v>
      </c>
      <c r="G44" s="18">
        <v>16</v>
      </c>
      <c r="H44" s="88"/>
    </row>
    <row r="45" spans="1:10" s="28" customFormat="1" ht="67.5" customHeight="1" x14ac:dyDescent="0.3">
      <c r="A45" s="27" t="s">
        <v>297</v>
      </c>
      <c r="B45" s="15" t="s">
        <v>298</v>
      </c>
      <c r="C45" s="60" t="s">
        <v>407</v>
      </c>
      <c r="D45" s="48" t="s">
        <v>34</v>
      </c>
      <c r="E45" s="17" t="s">
        <v>299</v>
      </c>
      <c r="F45" s="15" t="s">
        <v>268</v>
      </c>
      <c r="G45" s="18">
        <v>16</v>
      </c>
      <c r="H45" s="87"/>
      <c r="I45" s="25"/>
      <c r="J45" s="23"/>
    </row>
    <row r="46" spans="1:10" ht="50" x14ac:dyDescent="0.25">
      <c r="A46" s="15" t="s">
        <v>198</v>
      </c>
      <c r="B46" s="37" t="s">
        <v>526</v>
      </c>
      <c r="C46" s="58" t="s">
        <v>408</v>
      </c>
      <c r="D46" s="45" t="s">
        <v>35</v>
      </c>
      <c r="E46" s="17" t="s">
        <v>300</v>
      </c>
      <c r="F46" s="15" t="s">
        <v>268</v>
      </c>
      <c r="G46" s="18">
        <v>16</v>
      </c>
    </row>
    <row r="47" spans="1:10" ht="37.5" x14ac:dyDescent="0.25">
      <c r="A47" s="15" t="s">
        <v>200</v>
      </c>
      <c r="B47" s="37" t="s">
        <v>527</v>
      </c>
      <c r="C47" s="58" t="s">
        <v>409</v>
      </c>
      <c r="D47" s="45" t="s">
        <v>36</v>
      </c>
      <c r="E47" s="17" t="s">
        <v>301</v>
      </c>
      <c r="F47" s="15" t="s">
        <v>268</v>
      </c>
      <c r="G47" s="18">
        <v>16</v>
      </c>
    </row>
    <row r="48" spans="1:10" ht="48" customHeight="1" x14ac:dyDescent="0.25">
      <c r="A48" s="15" t="s">
        <v>302</v>
      </c>
      <c r="B48" s="37" t="s">
        <v>528</v>
      </c>
      <c r="C48" s="58" t="s">
        <v>410</v>
      </c>
      <c r="D48" s="45" t="s">
        <v>37</v>
      </c>
      <c r="E48" s="17" t="s">
        <v>303</v>
      </c>
      <c r="F48" s="15" t="s">
        <v>268</v>
      </c>
      <c r="G48" s="18">
        <v>16</v>
      </c>
    </row>
    <row r="49" spans="1:8" ht="62.25" customHeight="1" x14ac:dyDescent="0.25">
      <c r="A49" s="15" t="s">
        <v>304</v>
      </c>
      <c r="B49" s="37" t="s">
        <v>529</v>
      </c>
      <c r="C49" s="58" t="s">
        <v>411</v>
      </c>
      <c r="D49" s="45" t="s">
        <v>38</v>
      </c>
      <c r="E49" s="17" t="s">
        <v>305</v>
      </c>
      <c r="F49" s="15" t="s">
        <v>268</v>
      </c>
      <c r="G49" s="18">
        <v>16</v>
      </c>
      <c r="H49" s="6"/>
    </row>
    <row r="50" spans="1:8" ht="37.5" x14ac:dyDescent="0.25">
      <c r="A50" s="15" t="s">
        <v>201</v>
      </c>
      <c r="B50" s="37" t="s">
        <v>530</v>
      </c>
      <c r="C50" s="58" t="s">
        <v>412</v>
      </c>
      <c r="D50" s="45" t="s">
        <v>39</v>
      </c>
      <c r="E50" s="17" t="s">
        <v>306</v>
      </c>
      <c r="F50" s="15" t="s">
        <v>268</v>
      </c>
      <c r="G50" s="18">
        <v>16</v>
      </c>
      <c r="H50" s="6"/>
    </row>
    <row r="51" spans="1:8" ht="37.5" x14ac:dyDescent="0.25">
      <c r="A51" s="15" t="s">
        <v>484</v>
      </c>
      <c r="B51" s="37" t="s">
        <v>307</v>
      </c>
      <c r="C51" s="58" t="s">
        <v>413</v>
      </c>
      <c r="D51" s="45" t="s">
        <v>40</v>
      </c>
      <c r="E51" s="17" t="s">
        <v>308</v>
      </c>
      <c r="F51" s="15" t="s">
        <v>268</v>
      </c>
      <c r="G51" s="18">
        <v>16</v>
      </c>
    </row>
    <row r="52" spans="1:8" ht="37.5" x14ac:dyDescent="0.25">
      <c r="A52" s="15" t="s">
        <v>485</v>
      </c>
      <c r="B52" s="37" t="s">
        <v>309</v>
      </c>
      <c r="C52" s="58" t="s">
        <v>414</v>
      </c>
      <c r="D52" s="45" t="s">
        <v>41</v>
      </c>
      <c r="E52" s="17" t="s">
        <v>310</v>
      </c>
      <c r="F52" s="15" t="s">
        <v>268</v>
      </c>
      <c r="G52" s="18">
        <v>16</v>
      </c>
    </row>
    <row r="53" spans="1:8" ht="13" x14ac:dyDescent="0.25">
      <c r="A53" s="15" t="s">
        <v>486</v>
      </c>
      <c r="B53" s="15" t="s">
        <v>311</v>
      </c>
      <c r="C53" s="56" t="s">
        <v>415</v>
      </c>
      <c r="D53" s="44" t="s">
        <v>42</v>
      </c>
      <c r="E53" s="17" t="s">
        <v>312</v>
      </c>
      <c r="F53" s="15" t="s">
        <v>268</v>
      </c>
      <c r="G53" s="18">
        <v>16</v>
      </c>
    </row>
    <row r="54" spans="1:8" ht="13" x14ac:dyDescent="0.25">
      <c r="A54" s="15" t="s">
        <v>313</v>
      </c>
      <c r="B54" s="15" t="s">
        <v>314</v>
      </c>
      <c r="C54" s="56" t="s">
        <v>416</v>
      </c>
      <c r="D54" s="44" t="s">
        <v>43</v>
      </c>
      <c r="E54" s="17" t="s">
        <v>315</v>
      </c>
      <c r="F54" s="15" t="s">
        <v>268</v>
      </c>
      <c r="G54" s="18">
        <v>16</v>
      </c>
    </row>
    <row r="55" spans="1:8" ht="25" x14ac:dyDescent="0.25">
      <c r="A55" s="15" t="s">
        <v>316</v>
      </c>
      <c r="B55" s="15" t="s">
        <v>317</v>
      </c>
      <c r="C55" s="56" t="s">
        <v>417</v>
      </c>
      <c r="D55" s="44" t="s">
        <v>44</v>
      </c>
      <c r="E55" s="17" t="s">
        <v>318</v>
      </c>
      <c r="F55" s="15" t="s">
        <v>268</v>
      </c>
      <c r="G55" s="18">
        <v>16</v>
      </c>
    </row>
    <row r="56" spans="1:8" ht="13" x14ac:dyDescent="0.25">
      <c r="A56" s="15" t="s">
        <v>319</v>
      </c>
      <c r="B56" s="15" t="s">
        <v>320</v>
      </c>
      <c r="C56" s="56" t="s">
        <v>418</v>
      </c>
      <c r="D56" s="44" t="s">
        <v>45</v>
      </c>
      <c r="E56" s="17" t="s">
        <v>321</v>
      </c>
      <c r="F56" s="15" t="s">
        <v>268</v>
      </c>
      <c r="G56" s="18">
        <v>16</v>
      </c>
    </row>
    <row r="57" spans="1:8" ht="25" x14ac:dyDescent="0.25">
      <c r="A57" s="15" t="s">
        <v>487</v>
      </c>
      <c r="B57" s="15" t="s">
        <v>322</v>
      </c>
      <c r="C57" s="56" t="s">
        <v>419</v>
      </c>
      <c r="D57" s="44" t="s">
        <v>46</v>
      </c>
      <c r="E57" s="17" t="s">
        <v>323</v>
      </c>
      <c r="F57" s="15" t="s">
        <v>268</v>
      </c>
      <c r="G57" s="18">
        <v>16</v>
      </c>
    </row>
    <row r="58" spans="1:8" ht="13" x14ac:dyDescent="0.25">
      <c r="A58" s="15" t="s">
        <v>488</v>
      </c>
      <c r="B58" s="15" t="s">
        <v>324</v>
      </c>
      <c r="C58" s="56" t="s">
        <v>420</v>
      </c>
      <c r="D58" s="44" t="s">
        <v>47</v>
      </c>
      <c r="E58" s="17" t="s">
        <v>325</v>
      </c>
      <c r="F58" s="15" t="s">
        <v>268</v>
      </c>
      <c r="G58" s="18">
        <v>16</v>
      </c>
    </row>
    <row r="59" spans="1:8" ht="25" x14ac:dyDescent="0.25">
      <c r="A59" s="15" t="s">
        <v>326</v>
      </c>
      <c r="B59" s="15" t="s">
        <v>327</v>
      </c>
      <c r="C59" s="56" t="s">
        <v>421</v>
      </c>
      <c r="D59" s="44" t="s">
        <v>48</v>
      </c>
      <c r="E59" s="17" t="s">
        <v>328</v>
      </c>
      <c r="F59" s="15" t="s">
        <v>268</v>
      </c>
      <c r="G59" s="18">
        <v>16</v>
      </c>
    </row>
    <row r="60" spans="1:8" ht="37.5" x14ac:dyDescent="0.25">
      <c r="A60" s="15" t="s">
        <v>329</v>
      </c>
      <c r="B60" s="15" t="s">
        <v>330</v>
      </c>
      <c r="C60" s="56" t="s">
        <v>422</v>
      </c>
      <c r="D60" s="44" t="s">
        <v>49</v>
      </c>
      <c r="E60" s="17" t="s">
        <v>531</v>
      </c>
      <c r="F60" s="15" t="s">
        <v>268</v>
      </c>
      <c r="G60" s="18">
        <v>16</v>
      </c>
    </row>
    <row r="61" spans="1:8" ht="13" x14ac:dyDescent="0.25">
      <c r="A61" s="15" t="s">
        <v>331</v>
      </c>
      <c r="B61" s="15" t="s">
        <v>332</v>
      </c>
      <c r="C61" s="56" t="s">
        <v>423</v>
      </c>
      <c r="D61" s="44" t="s">
        <v>50</v>
      </c>
      <c r="E61" s="17" t="s">
        <v>333</v>
      </c>
      <c r="F61" s="15" t="s">
        <v>268</v>
      </c>
      <c r="G61" s="18">
        <v>16</v>
      </c>
    </row>
    <row r="62" spans="1:8" ht="57.75" customHeight="1" x14ac:dyDescent="0.25">
      <c r="A62" s="15" t="s">
        <v>334</v>
      </c>
      <c r="B62" s="15" t="s">
        <v>335</v>
      </c>
      <c r="C62" s="60" t="s">
        <v>425</v>
      </c>
      <c r="D62" s="49" t="s">
        <v>55</v>
      </c>
      <c r="E62" s="17" t="s">
        <v>336</v>
      </c>
      <c r="F62" s="15" t="s">
        <v>337</v>
      </c>
      <c r="G62" s="18">
        <v>500</v>
      </c>
    </row>
    <row r="63" spans="1:8" ht="25" x14ac:dyDescent="0.25">
      <c r="A63" s="15" t="s">
        <v>338</v>
      </c>
      <c r="B63" s="15" t="s">
        <v>339</v>
      </c>
      <c r="C63" s="60" t="s">
        <v>424</v>
      </c>
      <c r="D63" s="49" t="s">
        <v>51</v>
      </c>
      <c r="E63" s="17" t="s">
        <v>532</v>
      </c>
      <c r="F63" s="15" t="s">
        <v>268</v>
      </c>
      <c r="G63" s="18">
        <v>16</v>
      </c>
    </row>
    <row r="64" spans="1:8" ht="39" customHeight="1" x14ac:dyDescent="0.25">
      <c r="A64" s="16" t="s">
        <v>340</v>
      </c>
      <c r="B64" s="15" t="s">
        <v>517</v>
      </c>
      <c r="C64" s="60" t="s">
        <v>426</v>
      </c>
      <c r="D64" s="50" t="s">
        <v>341</v>
      </c>
      <c r="E64" s="17" t="s">
        <v>342</v>
      </c>
      <c r="F64" s="17" t="s">
        <v>252</v>
      </c>
      <c r="G64" s="31"/>
      <c r="H64" s="32"/>
    </row>
    <row r="65" spans="1:9" ht="57.75" customHeight="1" x14ac:dyDescent="0.25">
      <c r="A65" s="15" t="s">
        <v>491</v>
      </c>
      <c r="B65" s="37" t="s">
        <v>175</v>
      </c>
      <c r="C65" s="56" t="s">
        <v>427</v>
      </c>
      <c r="D65" s="44" t="s">
        <v>52</v>
      </c>
      <c r="E65" s="17" t="s">
        <v>343</v>
      </c>
      <c r="F65" s="15" t="s">
        <v>268</v>
      </c>
      <c r="G65" s="18">
        <v>16</v>
      </c>
    </row>
    <row r="66" spans="1:9" ht="57.75" customHeight="1" x14ac:dyDescent="0.25">
      <c r="A66" s="15" t="s">
        <v>492</v>
      </c>
      <c r="B66" s="37" t="s">
        <v>533</v>
      </c>
      <c r="C66" s="101" t="s">
        <v>428</v>
      </c>
      <c r="D66" s="102" t="s">
        <v>53</v>
      </c>
      <c r="E66" s="17"/>
      <c r="F66" s="15" t="s">
        <v>268</v>
      </c>
      <c r="G66" s="18">
        <v>16</v>
      </c>
    </row>
    <row r="67" spans="1:9" ht="57.75" customHeight="1" x14ac:dyDescent="0.25">
      <c r="A67" s="15" t="s">
        <v>493</v>
      </c>
      <c r="B67" s="37" t="s">
        <v>534</v>
      </c>
      <c r="C67" s="101" t="s">
        <v>429</v>
      </c>
      <c r="D67" s="102" t="s">
        <v>54</v>
      </c>
      <c r="E67" s="17" t="s">
        <v>344</v>
      </c>
      <c r="F67" s="15" t="s">
        <v>268</v>
      </c>
      <c r="G67" s="18">
        <v>16</v>
      </c>
    </row>
    <row r="68" spans="1:9" ht="38.25" customHeight="1" x14ac:dyDescent="0.25">
      <c r="A68" s="140" t="s">
        <v>507</v>
      </c>
      <c r="B68" s="140"/>
      <c r="C68" s="140"/>
      <c r="D68" s="140"/>
      <c r="E68" s="140"/>
      <c r="F68" s="140"/>
      <c r="G68" s="140"/>
      <c r="H68" s="141"/>
    </row>
    <row r="69" spans="1:9" x14ac:dyDescent="0.25">
      <c r="A69" s="140"/>
      <c r="B69" s="140"/>
      <c r="C69" s="140"/>
      <c r="D69" s="140"/>
      <c r="E69" s="140"/>
      <c r="F69" s="140"/>
      <c r="G69" s="140"/>
      <c r="H69" s="141"/>
    </row>
    <row r="70" spans="1:9" ht="13" x14ac:dyDescent="0.3">
      <c r="A70" s="15" t="s">
        <v>176</v>
      </c>
      <c r="B70" s="37" t="s">
        <v>177</v>
      </c>
      <c r="C70" s="61" t="s">
        <v>430</v>
      </c>
      <c r="D70" s="51" t="s">
        <v>57</v>
      </c>
      <c r="E70" s="17" t="s">
        <v>345</v>
      </c>
      <c r="F70" s="15" t="s">
        <v>346</v>
      </c>
      <c r="G70" s="33"/>
      <c r="H70" s="89"/>
      <c r="I70" s="1"/>
    </row>
    <row r="71" spans="1:9" ht="13" x14ac:dyDescent="0.25">
      <c r="A71" s="15" t="s">
        <v>178</v>
      </c>
      <c r="B71" s="37" t="s">
        <v>179</v>
      </c>
      <c r="C71" s="61" t="s">
        <v>431</v>
      </c>
      <c r="D71" s="51" t="s">
        <v>58</v>
      </c>
      <c r="E71" s="17" t="s">
        <v>345</v>
      </c>
      <c r="F71" s="15" t="s">
        <v>346</v>
      </c>
      <c r="G71" s="33"/>
    </row>
    <row r="72" spans="1:9" ht="13" x14ac:dyDescent="0.25">
      <c r="A72" s="15" t="s">
        <v>180</v>
      </c>
      <c r="B72" s="37" t="s">
        <v>181</v>
      </c>
      <c r="C72" s="61" t="s">
        <v>432</v>
      </c>
      <c r="D72" s="51" t="s">
        <v>59</v>
      </c>
      <c r="E72" s="17" t="s">
        <v>345</v>
      </c>
      <c r="F72" s="15" t="s">
        <v>346</v>
      </c>
      <c r="G72" s="33"/>
    </row>
    <row r="73" spans="1:9" ht="13" x14ac:dyDescent="0.25">
      <c r="A73" s="15" t="s">
        <v>182</v>
      </c>
      <c r="B73" s="37" t="s">
        <v>183</v>
      </c>
      <c r="C73" s="54" t="s">
        <v>433</v>
      </c>
      <c r="D73" s="21" t="s">
        <v>60</v>
      </c>
      <c r="E73" s="17"/>
      <c r="F73" s="15" t="s">
        <v>346</v>
      </c>
      <c r="G73" s="33"/>
    </row>
    <row r="74" spans="1:9" ht="13" x14ac:dyDescent="0.25">
      <c r="A74" s="15" t="s">
        <v>184</v>
      </c>
      <c r="B74" s="37" t="s">
        <v>185</v>
      </c>
      <c r="C74" s="61" t="s">
        <v>434</v>
      </c>
      <c r="D74" s="51" t="s">
        <v>61</v>
      </c>
      <c r="E74" s="17" t="s">
        <v>345</v>
      </c>
      <c r="F74" s="15" t="s">
        <v>346</v>
      </c>
      <c r="G74" s="33"/>
    </row>
    <row r="75" spans="1:9" ht="13" x14ac:dyDescent="0.25">
      <c r="A75" s="15" t="s">
        <v>186</v>
      </c>
      <c r="B75" s="37" t="s">
        <v>187</v>
      </c>
      <c r="C75" s="61" t="s">
        <v>435</v>
      </c>
      <c r="D75" s="51" t="s">
        <v>62</v>
      </c>
      <c r="E75" s="17" t="s">
        <v>345</v>
      </c>
      <c r="F75" s="15"/>
      <c r="G75" s="33"/>
    </row>
    <row r="76" spans="1:9" ht="13" x14ac:dyDescent="0.25">
      <c r="A76" s="15" t="s">
        <v>63</v>
      </c>
      <c r="B76" s="37" t="s">
        <v>188</v>
      </c>
      <c r="C76" s="61" t="s">
        <v>436</v>
      </c>
      <c r="D76" s="51" t="s">
        <v>63</v>
      </c>
      <c r="E76" s="17" t="s">
        <v>347</v>
      </c>
      <c r="F76" s="15"/>
      <c r="G76" s="33"/>
    </row>
    <row r="77" spans="1:9" ht="13" x14ac:dyDescent="0.25">
      <c r="A77" s="15" t="s">
        <v>189</v>
      </c>
      <c r="B77" s="37" t="s">
        <v>190</v>
      </c>
      <c r="C77" s="61" t="s">
        <v>437</v>
      </c>
      <c r="D77" s="51" t="s">
        <v>64</v>
      </c>
      <c r="E77" s="17" t="s">
        <v>348</v>
      </c>
      <c r="F77" s="15" t="s">
        <v>346</v>
      </c>
      <c r="G77" s="33">
        <v>20</v>
      </c>
    </row>
    <row r="78" spans="1:9" ht="13" x14ac:dyDescent="0.25">
      <c r="A78" s="15" t="s">
        <v>494</v>
      </c>
      <c r="B78" s="37" t="s">
        <v>191</v>
      </c>
      <c r="C78" s="62" t="s">
        <v>438</v>
      </c>
      <c r="D78" s="63" t="s">
        <v>65</v>
      </c>
      <c r="E78" s="17" t="s">
        <v>349</v>
      </c>
      <c r="F78" s="15"/>
      <c r="G78" s="33"/>
    </row>
    <row r="79" spans="1:9" ht="38" x14ac:dyDescent="0.25">
      <c r="A79" s="15" t="s">
        <v>495</v>
      </c>
      <c r="B79" s="37" t="s">
        <v>535</v>
      </c>
      <c r="C79" s="62" t="s">
        <v>439</v>
      </c>
      <c r="D79" s="63" t="s">
        <v>66</v>
      </c>
      <c r="E79" s="17" t="s">
        <v>350</v>
      </c>
      <c r="F79" s="15"/>
      <c r="G79" s="33"/>
      <c r="H79" s="6"/>
    </row>
    <row r="80" spans="1:9" ht="37.5" x14ac:dyDescent="0.25">
      <c r="A80" s="15" t="s">
        <v>192</v>
      </c>
      <c r="B80" s="37" t="s">
        <v>193</v>
      </c>
      <c r="C80" s="54" t="s">
        <v>440</v>
      </c>
      <c r="D80" s="21" t="s">
        <v>67</v>
      </c>
      <c r="E80" s="17" t="s">
        <v>518</v>
      </c>
      <c r="F80" s="15" t="s">
        <v>346</v>
      </c>
      <c r="G80" s="33"/>
    </row>
    <row r="81" spans="1:8" ht="24" customHeight="1" x14ac:dyDescent="0.25">
      <c r="A81" s="15" t="s">
        <v>194</v>
      </c>
      <c r="B81" s="37" t="s">
        <v>195</v>
      </c>
      <c r="C81" s="54" t="s">
        <v>441</v>
      </c>
      <c r="D81" s="21" t="s">
        <v>68</v>
      </c>
      <c r="E81" s="17" t="s">
        <v>519</v>
      </c>
      <c r="F81" s="15"/>
      <c r="G81" s="33"/>
    </row>
    <row r="82" spans="1:8" ht="42" customHeight="1" x14ac:dyDescent="0.25">
      <c r="A82" s="15" t="s">
        <v>196</v>
      </c>
      <c r="B82" s="37" t="s">
        <v>197</v>
      </c>
      <c r="C82" s="96" t="s">
        <v>442</v>
      </c>
      <c r="D82" s="95" t="s">
        <v>69</v>
      </c>
      <c r="E82" s="17" t="s">
        <v>351</v>
      </c>
      <c r="F82" s="15"/>
      <c r="G82" s="33"/>
    </row>
    <row r="83" spans="1:8" ht="33" customHeight="1" x14ac:dyDescent="0.25">
      <c r="A83" s="15" t="s">
        <v>198</v>
      </c>
      <c r="B83" s="37" t="s">
        <v>199</v>
      </c>
      <c r="C83" s="96" t="s">
        <v>444</v>
      </c>
      <c r="D83" s="95" t="s">
        <v>70</v>
      </c>
      <c r="E83" s="17" t="s">
        <v>366</v>
      </c>
      <c r="F83" s="15"/>
      <c r="G83" s="33"/>
    </row>
    <row r="84" spans="1:8" ht="33" customHeight="1" x14ac:dyDescent="0.25">
      <c r="A84" s="15" t="s">
        <v>200</v>
      </c>
      <c r="B84" s="37" t="s">
        <v>536</v>
      </c>
      <c r="C84" s="96" t="s">
        <v>445</v>
      </c>
      <c r="D84" s="95" t="s">
        <v>71</v>
      </c>
      <c r="E84" s="17" t="s">
        <v>367</v>
      </c>
      <c r="F84" s="15"/>
      <c r="G84" s="33"/>
    </row>
    <row r="85" spans="1:8" ht="33" customHeight="1" x14ac:dyDescent="0.3">
      <c r="A85" s="15" t="s">
        <v>201</v>
      </c>
      <c r="B85" s="37" t="s">
        <v>202</v>
      </c>
      <c r="C85" s="96" t="s">
        <v>446</v>
      </c>
      <c r="D85" s="95" t="s">
        <v>72</v>
      </c>
      <c r="E85" s="17" t="s">
        <v>368</v>
      </c>
      <c r="F85" s="34"/>
      <c r="G85" s="35"/>
    </row>
    <row r="86" spans="1:8" ht="33" customHeight="1" x14ac:dyDescent="0.25">
      <c r="A86" s="15" t="s">
        <v>203</v>
      </c>
      <c r="B86" s="37" t="s">
        <v>204</v>
      </c>
      <c r="C86" s="96" t="s">
        <v>447</v>
      </c>
      <c r="D86" s="95" t="s">
        <v>73</v>
      </c>
      <c r="E86" s="17" t="s">
        <v>369</v>
      </c>
      <c r="F86" s="15"/>
      <c r="G86" s="33"/>
      <c r="H86" s="6"/>
    </row>
    <row r="87" spans="1:8" ht="37.5" customHeight="1" x14ac:dyDescent="0.25">
      <c r="A87" s="15" t="s">
        <v>205</v>
      </c>
      <c r="B87" s="37" t="s">
        <v>206</v>
      </c>
      <c r="C87" s="96" t="s">
        <v>443</v>
      </c>
      <c r="D87" s="95" t="s">
        <v>74</v>
      </c>
      <c r="E87" s="17" t="s">
        <v>370</v>
      </c>
      <c r="F87" s="15"/>
      <c r="G87" s="33"/>
    </row>
    <row r="88" spans="1:8" ht="39" customHeight="1" x14ac:dyDescent="0.25">
      <c r="A88" s="15" t="s">
        <v>207</v>
      </c>
      <c r="B88" s="37" t="s">
        <v>537</v>
      </c>
      <c r="C88" s="96" t="s">
        <v>448</v>
      </c>
      <c r="D88" s="95" t="s">
        <v>75</v>
      </c>
      <c r="E88" s="17" t="s">
        <v>371</v>
      </c>
      <c r="F88" s="15"/>
      <c r="G88" s="33"/>
    </row>
    <row r="89" spans="1:8" ht="39" customHeight="1" x14ac:dyDescent="0.25">
      <c r="A89" s="15" t="s">
        <v>208</v>
      </c>
      <c r="B89" s="37" t="s">
        <v>209</v>
      </c>
      <c r="C89" s="96" t="s">
        <v>449</v>
      </c>
      <c r="D89" s="95" t="s">
        <v>76</v>
      </c>
      <c r="E89" s="17" t="s">
        <v>538</v>
      </c>
      <c r="F89" s="15"/>
      <c r="G89" s="33"/>
    </row>
    <row r="90" spans="1:8" ht="26.25" customHeight="1" x14ac:dyDescent="0.25">
      <c r="A90" s="15" t="s">
        <v>210</v>
      </c>
      <c r="B90" s="37" t="s">
        <v>211</v>
      </c>
      <c r="C90" s="91" t="s">
        <v>450</v>
      </c>
      <c r="D90" s="92" t="s">
        <v>81</v>
      </c>
      <c r="E90" s="17" t="s">
        <v>515</v>
      </c>
      <c r="F90" s="146"/>
      <c r="G90" s="146"/>
    </row>
    <row r="91" spans="1:8" ht="37.5" x14ac:dyDescent="0.25">
      <c r="A91" s="15" t="s">
        <v>212</v>
      </c>
      <c r="B91" s="15" t="s">
        <v>213</v>
      </c>
      <c r="C91" s="54" t="s">
        <v>451</v>
      </c>
      <c r="D91" s="21" t="s">
        <v>77</v>
      </c>
      <c r="E91" s="15" t="s">
        <v>352</v>
      </c>
      <c r="F91" s="15" t="s">
        <v>353</v>
      </c>
      <c r="G91" s="33"/>
    </row>
    <row r="92" spans="1:8" ht="37.5" x14ac:dyDescent="0.25">
      <c r="A92" s="15" t="s">
        <v>214</v>
      </c>
      <c r="B92" s="15" t="s">
        <v>215</v>
      </c>
      <c r="C92" s="54" t="s">
        <v>452</v>
      </c>
      <c r="D92" s="21" t="s">
        <v>78</v>
      </c>
      <c r="E92" s="15" t="s">
        <v>352</v>
      </c>
      <c r="F92" s="15" t="s">
        <v>353</v>
      </c>
      <c r="G92" s="33"/>
    </row>
    <row r="93" spans="1:8" ht="13" x14ac:dyDescent="0.25">
      <c r="A93" s="15" t="s">
        <v>216</v>
      </c>
      <c r="B93" s="15" t="s">
        <v>217</v>
      </c>
      <c r="C93" s="62" t="s">
        <v>453</v>
      </c>
      <c r="D93" s="63" t="s">
        <v>79</v>
      </c>
      <c r="E93" s="17"/>
      <c r="F93" s="15" t="s">
        <v>354</v>
      </c>
      <c r="G93" s="33"/>
    </row>
    <row r="94" spans="1:8" ht="25" x14ac:dyDescent="0.25">
      <c r="A94" s="15" t="s">
        <v>218</v>
      </c>
      <c r="B94" s="15" t="s">
        <v>355</v>
      </c>
      <c r="C94" s="54" t="s">
        <v>454</v>
      </c>
      <c r="D94" s="21" t="s">
        <v>80</v>
      </c>
      <c r="E94" s="15" t="s">
        <v>219</v>
      </c>
      <c r="F94" s="15"/>
      <c r="G94" s="33"/>
    </row>
    <row r="95" spans="1:8" ht="25" x14ac:dyDescent="0.25">
      <c r="A95" s="15" t="s">
        <v>82</v>
      </c>
      <c r="B95" s="15" t="s">
        <v>220</v>
      </c>
      <c r="C95" s="54" t="s">
        <v>455</v>
      </c>
      <c r="D95" s="21" t="s">
        <v>82</v>
      </c>
      <c r="E95" s="15" t="s">
        <v>352</v>
      </c>
      <c r="F95" s="15" t="s">
        <v>353</v>
      </c>
      <c r="G95" s="33"/>
    </row>
    <row r="96" spans="1:8" ht="13" x14ac:dyDescent="0.25">
      <c r="A96" s="15" t="s">
        <v>83</v>
      </c>
      <c r="B96" s="15" t="s">
        <v>221</v>
      </c>
      <c r="C96" s="54" t="s">
        <v>456</v>
      </c>
      <c r="D96" s="21" t="s">
        <v>83</v>
      </c>
      <c r="E96" s="15" t="s">
        <v>352</v>
      </c>
      <c r="F96" s="15" t="s">
        <v>353</v>
      </c>
      <c r="G96" s="33"/>
    </row>
    <row r="97" spans="1:11" ht="25" x14ac:dyDescent="0.25">
      <c r="A97" s="15" t="s">
        <v>84</v>
      </c>
      <c r="B97" s="15" t="s">
        <v>222</v>
      </c>
      <c r="C97" s="62" t="s">
        <v>457</v>
      </c>
      <c r="D97" s="63" t="s">
        <v>84</v>
      </c>
      <c r="E97" s="17" t="s">
        <v>356</v>
      </c>
      <c r="F97" s="15" t="s">
        <v>357</v>
      </c>
      <c r="G97" s="20"/>
    </row>
    <row r="98" spans="1:11" ht="25" x14ac:dyDescent="0.25">
      <c r="A98" s="27" t="s">
        <v>85</v>
      </c>
      <c r="B98" s="15" t="s">
        <v>223</v>
      </c>
      <c r="C98" s="62" t="s">
        <v>458</v>
      </c>
      <c r="D98" s="52" t="s">
        <v>85</v>
      </c>
      <c r="E98" s="17" t="s">
        <v>358</v>
      </c>
      <c r="F98" s="15" t="s">
        <v>357</v>
      </c>
      <c r="G98" s="20">
        <v>500</v>
      </c>
    </row>
    <row r="99" spans="1:11" ht="13" x14ac:dyDescent="0.25">
      <c r="A99" s="15" t="s">
        <v>86</v>
      </c>
      <c r="B99" s="15" t="s">
        <v>224</v>
      </c>
      <c r="C99" s="54" t="s">
        <v>459</v>
      </c>
      <c r="D99" s="21" t="s">
        <v>86</v>
      </c>
      <c r="E99" s="17" t="s">
        <v>520</v>
      </c>
      <c r="F99" s="15" t="s">
        <v>357</v>
      </c>
      <c r="G99" s="20"/>
    </row>
    <row r="100" spans="1:11" ht="13" x14ac:dyDescent="0.25">
      <c r="A100" s="15" t="s">
        <v>87</v>
      </c>
      <c r="B100" s="15" t="s">
        <v>225</v>
      </c>
      <c r="C100" s="54" t="s">
        <v>460</v>
      </c>
      <c r="D100" s="21" t="s">
        <v>87</v>
      </c>
      <c r="E100" s="17" t="s">
        <v>359</v>
      </c>
      <c r="F100" s="15" t="s">
        <v>357</v>
      </c>
      <c r="G100" s="20"/>
    </row>
    <row r="101" spans="1:11" ht="13" x14ac:dyDescent="0.25">
      <c r="A101" s="15" t="s">
        <v>88</v>
      </c>
      <c r="B101" s="15" t="s">
        <v>226</v>
      </c>
      <c r="C101" s="54" t="s">
        <v>461</v>
      </c>
      <c r="D101" s="21" t="s">
        <v>88</v>
      </c>
      <c r="E101" s="17" t="s">
        <v>520</v>
      </c>
      <c r="F101" s="15" t="s">
        <v>357</v>
      </c>
      <c r="G101" s="20"/>
    </row>
    <row r="102" spans="1:11" ht="25" x14ac:dyDescent="0.25">
      <c r="A102" s="15" t="s">
        <v>227</v>
      </c>
      <c r="B102" s="15" t="s">
        <v>228</v>
      </c>
      <c r="C102" s="54" t="s">
        <v>462</v>
      </c>
      <c r="D102" s="64" t="s">
        <v>227</v>
      </c>
      <c r="E102" s="17" t="s">
        <v>352</v>
      </c>
      <c r="F102" s="15" t="s">
        <v>353</v>
      </c>
      <c r="G102" s="20"/>
    </row>
    <row r="103" spans="1:11" ht="25" x14ac:dyDescent="0.25">
      <c r="A103" s="15" t="s">
        <v>229</v>
      </c>
      <c r="B103" s="15" t="s">
        <v>230</v>
      </c>
      <c r="C103" s="62" t="s">
        <v>463</v>
      </c>
      <c r="D103" s="65" t="s">
        <v>231</v>
      </c>
      <c r="E103" s="17" t="s">
        <v>352</v>
      </c>
      <c r="F103" s="15" t="s">
        <v>353</v>
      </c>
      <c r="G103" s="20"/>
    </row>
    <row r="104" spans="1:11" ht="17.25" customHeight="1" x14ac:dyDescent="0.25">
      <c r="A104" s="16" t="s">
        <v>471</v>
      </c>
      <c r="B104" s="142" t="s">
        <v>360</v>
      </c>
      <c r="C104" s="62" t="s">
        <v>464</v>
      </c>
      <c r="D104" s="52" t="s">
        <v>91</v>
      </c>
      <c r="E104" s="148" t="s">
        <v>552</v>
      </c>
      <c r="F104" s="142" t="s">
        <v>357</v>
      </c>
      <c r="G104" s="143"/>
      <c r="H104" s="152"/>
      <c r="I104" s="6"/>
      <c r="J104" s="6"/>
      <c r="K104" s="6"/>
    </row>
    <row r="105" spans="1:11" ht="17.25" customHeight="1" x14ac:dyDescent="0.25">
      <c r="A105" s="16" t="s">
        <v>472</v>
      </c>
      <c r="B105" s="142"/>
      <c r="C105" s="62" t="s">
        <v>470</v>
      </c>
      <c r="D105" s="52" t="s">
        <v>92</v>
      </c>
      <c r="E105" s="149"/>
      <c r="F105" s="142"/>
      <c r="G105" s="143"/>
      <c r="H105" s="152"/>
      <c r="I105" s="6"/>
      <c r="J105" s="6"/>
      <c r="K105" s="6"/>
    </row>
    <row r="106" spans="1:11" ht="17.25" customHeight="1" x14ac:dyDescent="0.25">
      <c r="A106" s="16" t="s">
        <v>473</v>
      </c>
      <c r="B106" s="142"/>
      <c r="C106" s="62" t="s">
        <v>465</v>
      </c>
      <c r="D106" s="52" t="s">
        <v>93</v>
      </c>
      <c r="E106" s="149"/>
      <c r="F106" s="142"/>
      <c r="G106" s="143"/>
      <c r="H106" s="152"/>
      <c r="I106" s="6"/>
      <c r="J106" s="6"/>
      <c r="K106" s="6"/>
    </row>
    <row r="107" spans="1:11" ht="17.25" customHeight="1" x14ac:dyDescent="0.25">
      <c r="A107" s="16" t="s">
        <v>474</v>
      </c>
      <c r="B107" s="142"/>
      <c r="C107" s="62" t="s">
        <v>466</v>
      </c>
      <c r="D107" s="52" t="s">
        <v>94</v>
      </c>
      <c r="E107" s="150"/>
      <c r="F107" s="142"/>
      <c r="G107" s="143"/>
      <c r="H107" s="152"/>
      <c r="I107" s="6"/>
      <c r="J107" s="6"/>
      <c r="K107" s="6"/>
    </row>
    <row r="108" spans="1:11" ht="77.150000000000006" customHeight="1" x14ac:dyDescent="0.25">
      <c r="A108" s="27" t="s">
        <v>516</v>
      </c>
      <c r="B108" s="15" t="s">
        <v>539</v>
      </c>
      <c r="C108" s="62" t="s">
        <v>467</v>
      </c>
      <c r="D108" s="48" t="s">
        <v>361</v>
      </c>
      <c r="E108" s="15" t="s">
        <v>540</v>
      </c>
      <c r="F108" s="17" t="s">
        <v>256</v>
      </c>
      <c r="G108" s="20">
        <v>50</v>
      </c>
      <c r="H108" s="105"/>
      <c r="I108" s="6"/>
      <c r="J108" s="6"/>
      <c r="K108" s="6"/>
    </row>
    <row r="109" spans="1:11" ht="45.75" customHeight="1" x14ac:dyDescent="0.25">
      <c r="A109" s="15" t="s">
        <v>546</v>
      </c>
      <c r="B109" s="15" t="s">
        <v>548</v>
      </c>
      <c r="C109" s="62" t="s">
        <v>468</v>
      </c>
      <c r="D109" s="48" t="s">
        <v>362</v>
      </c>
      <c r="E109" s="6" t="s">
        <v>544</v>
      </c>
      <c r="F109" s="17" t="s">
        <v>504</v>
      </c>
      <c r="G109" s="20">
        <v>50</v>
      </c>
      <c r="H109" s="32"/>
    </row>
    <row r="110" spans="1:11" ht="53.25" customHeight="1" x14ac:dyDescent="0.25">
      <c r="A110" s="27" t="s">
        <v>547</v>
      </c>
      <c r="B110" s="15" t="s">
        <v>545</v>
      </c>
      <c r="C110" s="62" t="s">
        <v>469</v>
      </c>
      <c r="D110" s="48" t="s">
        <v>363</v>
      </c>
      <c r="E110" s="6" t="s">
        <v>543</v>
      </c>
      <c r="F110" s="17" t="s">
        <v>268</v>
      </c>
      <c r="G110" s="20">
        <v>50</v>
      </c>
      <c r="H110" s="32"/>
    </row>
    <row r="111" spans="1:11" ht="37.5" x14ac:dyDescent="0.25">
      <c r="A111" s="17" t="s">
        <v>478</v>
      </c>
      <c r="B111" s="15" t="s">
        <v>499</v>
      </c>
      <c r="C111" s="54" t="s">
        <v>501</v>
      </c>
      <c r="D111" s="64" t="s">
        <v>496</v>
      </c>
      <c r="E111" s="15" t="s">
        <v>352</v>
      </c>
      <c r="F111" s="15" t="s">
        <v>353</v>
      </c>
      <c r="G111" s="20"/>
    </row>
    <row r="112" spans="1:11" ht="37.5" x14ac:dyDescent="0.25">
      <c r="A112" s="17" t="s">
        <v>498</v>
      </c>
      <c r="B112" s="15" t="s">
        <v>549</v>
      </c>
      <c r="C112" s="54" t="s">
        <v>502</v>
      </c>
      <c r="D112" s="64" t="s">
        <v>497</v>
      </c>
      <c r="E112" s="15" t="s">
        <v>503</v>
      </c>
      <c r="F112" s="15" t="s">
        <v>504</v>
      </c>
      <c r="G112" s="20">
        <v>12</v>
      </c>
      <c r="H112" s="23"/>
    </row>
    <row r="113" spans="1:7" ht="25" x14ac:dyDescent="0.25">
      <c r="A113" s="16" t="s">
        <v>475</v>
      </c>
      <c r="B113" s="15" t="s">
        <v>521</v>
      </c>
      <c r="C113" s="62" t="s">
        <v>476</v>
      </c>
      <c r="D113" s="52" t="s">
        <v>479</v>
      </c>
      <c r="E113" s="15" t="s">
        <v>522</v>
      </c>
      <c r="F113" s="17" t="s">
        <v>268</v>
      </c>
      <c r="G113" s="20">
        <v>6</v>
      </c>
    </row>
    <row r="114" spans="1:7" ht="13" x14ac:dyDescent="0.25">
      <c r="A114" s="108" t="s">
        <v>553</v>
      </c>
      <c r="B114" s="15" t="s">
        <v>554</v>
      </c>
      <c r="C114" s="107" t="s">
        <v>555</v>
      </c>
      <c r="D114" s="64" t="s">
        <v>556</v>
      </c>
      <c r="E114" s="15" t="s">
        <v>557</v>
      </c>
      <c r="F114" s="17" t="s">
        <v>504</v>
      </c>
      <c r="G114" s="20">
        <v>320</v>
      </c>
    </row>
    <row r="115" spans="1:7" x14ac:dyDescent="0.25">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2025-12-30T23:23:42Z</dcterms:modified>
</cp:coreProperties>
</file>