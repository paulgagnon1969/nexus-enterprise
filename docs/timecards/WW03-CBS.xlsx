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g/nexus-enterprise/docs/timecards/"/>
    </mc:Choice>
  </mc:AlternateContent>
  <xr:revisionPtr revIDLastSave="0" documentId="8_{C02E8732-D485-A747-A8F6-059AB265024A}" xr6:coauthVersionLast="47" xr6:coauthVersionMax="47" xr10:uidLastSave="{00000000-0000-0000-0000-000000000000}"/>
  <bookViews>
    <workbookView xWindow="24780" yWindow="13180" windowWidth="27640" windowHeight="16680" xr2:uid="{B0974799-FA8B-5D46-ABAD-86759052BD9C}"/>
  </bookViews>
  <sheets>
    <sheet name="CBS ONLY - WW03 - 2026" sheetId="1" r:id="rId1"/>
  </sheets>
  <externalReferences>
    <externalReference r:id="rId2"/>
  </externalReferences>
  <definedNames>
    <definedName name="_xlnm._FilterDatabase" localSheetId="0" hidden="1">'CBS ONLY - WW03 - 2026'!$A$2:$AI$51</definedName>
    <definedName name="Z_50FAC89F_24DA_4D87_8755_43E09F4F1A5B_.wvu.FilterData" localSheetId="0" hidden="1">'CBS ONLY - WW03 - 2026'!$A$3:$AI$51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G51" i="1"/>
  <c r="D51" i="1"/>
  <c r="E51" i="1" s="1"/>
  <c r="H50" i="1"/>
  <c r="G50" i="1"/>
  <c r="E50" i="1"/>
  <c r="D50" i="1"/>
  <c r="H49" i="1"/>
  <c r="G49" i="1"/>
  <c r="D49" i="1"/>
  <c r="E49" i="1" s="1"/>
  <c r="H48" i="1"/>
  <c r="G48" i="1"/>
  <c r="E48" i="1" s="1"/>
  <c r="D48" i="1"/>
  <c r="H47" i="1"/>
  <c r="G47" i="1"/>
  <c r="E47" i="1"/>
  <c r="D47" i="1"/>
  <c r="H46" i="1"/>
  <c r="G46" i="1"/>
  <c r="E46" i="1" s="1"/>
  <c r="D46" i="1"/>
  <c r="H45" i="1"/>
  <c r="G45" i="1"/>
  <c r="E45" i="1" s="1"/>
  <c r="D45" i="1"/>
  <c r="H44" i="1"/>
  <c r="G44" i="1"/>
  <c r="E44" i="1"/>
  <c r="D44" i="1"/>
  <c r="H43" i="1"/>
  <c r="G43" i="1"/>
  <c r="E43" i="1"/>
  <c r="D43" i="1"/>
  <c r="H42" i="1"/>
  <c r="G42" i="1"/>
  <c r="E42" i="1"/>
  <c r="D42" i="1"/>
  <c r="H41" i="1"/>
  <c r="G41" i="1"/>
  <c r="E41" i="1" s="1"/>
  <c r="D41" i="1"/>
  <c r="H40" i="1"/>
  <c r="G40" i="1"/>
  <c r="E40" i="1" s="1"/>
  <c r="D40" i="1"/>
  <c r="H39" i="1"/>
  <c r="E39" i="1" s="1"/>
  <c r="G39" i="1"/>
  <c r="D39" i="1"/>
  <c r="H38" i="1"/>
  <c r="G38" i="1"/>
  <c r="E38" i="1" s="1"/>
  <c r="D38" i="1"/>
  <c r="H37" i="1"/>
  <c r="G37" i="1"/>
  <c r="D37" i="1"/>
  <c r="E37" i="1" s="1"/>
  <c r="H36" i="1"/>
  <c r="G36" i="1"/>
  <c r="E36" i="1" s="1"/>
  <c r="D36" i="1"/>
  <c r="H35" i="1"/>
  <c r="G35" i="1"/>
  <c r="E35" i="1"/>
  <c r="D35" i="1"/>
  <c r="H34" i="1"/>
  <c r="E34" i="1" s="1"/>
  <c r="G34" i="1"/>
  <c r="D34" i="1"/>
  <c r="H33" i="1"/>
  <c r="G33" i="1"/>
  <c r="E33" i="1" s="1"/>
  <c r="D33" i="1"/>
  <c r="H32" i="1"/>
  <c r="G32" i="1"/>
  <c r="D32" i="1"/>
  <c r="E32" i="1" s="1"/>
  <c r="H31" i="1"/>
  <c r="G31" i="1"/>
  <c r="E31" i="1"/>
  <c r="D31" i="1"/>
  <c r="H30" i="1"/>
  <c r="G30" i="1"/>
  <c r="E30" i="1"/>
  <c r="D30" i="1"/>
  <c r="H29" i="1"/>
  <c r="E29" i="1" s="1"/>
  <c r="G29" i="1"/>
  <c r="D29" i="1"/>
  <c r="H28" i="1"/>
  <c r="G28" i="1"/>
  <c r="E28" i="1" s="1"/>
  <c r="D28" i="1"/>
  <c r="H27" i="1"/>
  <c r="G27" i="1"/>
  <c r="D27" i="1"/>
  <c r="E27" i="1" s="1"/>
  <c r="H26" i="1"/>
  <c r="G26" i="1"/>
  <c r="E26" i="1"/>
  <c r="D26" i="1"/>
  <c r="H25" i="1"/>
  <c r="G25" i="1"/>
  <c r="D25" i="1"/>
  <c r="E25" i="1" s="1"/>
  <c r="H24" i="1"/>
  <c r="G24" i="1"/>
  <c r="E24" i="1" s="1"/>
  <c r="D24" i="1"/>
  <c r="H23" i="1"/>
  <c r="G23" i="1"/>
  <c r="E23" i="1"/>
  <c r="D23" i="1"/>
  <c r="H22" i="1"/>
  <c r="G22" i="1"/>
  <c r="E22" i="1" s="1"/>
  <c r="D22" i="1"/>
  <c r="H21" i="1"/>
  <c r="G21" i="1"/>
  <c r="E21" i="1" s="1"/>
  <c r="D21" i="1"/>
  <c r="H20" i="1"/>
  <c r="G20" i="1"/>
  <c r="E20" i="1"/>
  <c r="D20" i="1"/>
  <c r="H19" i="1"/>
  <c r="G19" i="1"/>
  <c r="E19" i="1"/>
  <c r="D19" i="1"/>
  <c r="H18" i="1"/>
  <c r="G18" i="1"/>
  <c r="E18" i="1"/>
  <c r="D18" i="1"/>
  <c r="H17" i="1"/>
  <c r="G17" i="1"/>
  <c r="E17" i="1" s="1"/>
  <c r="D17" i="1"/>
  <c r="H16" i="1"/>
  <c r="G16" i="1"/>
  <c r="E16" i="1" s="1"/>
  <c r="D16" i="1"/>
  <c r="H15" i="1"/>
  <c r="E15" i="1" s="1"/>
  <c r="G15" i="1"/>
  <c r="D15" i="1"/>
  <c r="H14" i="1"/>
  <c r="G14" i="1"/>
  <c r="E14" i="1" s="1"/>
  <c r="D14" i="1"/>
  <c r="H13" i="1"/>
  <c r="G13" i="1"/>
  <c r="D13" i="1"/>
  <c r="E13" i="1" s="1"/>
  <c r="H12" i="1"/>
  <c r="G12" i="1"/>
  <c r="E12" i="1" s="1"/>
  <c r="D12" i="1"/>
  <c r="H11" i="1"/>
  <c r="G11" i="1"/>
  <c r="E11" i="1"/>
  <c r="D11" i="1"/>
  <c r="H10" i="1"/>
  <c r="E10" i="1" s="1"/>
  <c r="G10" i="1"/>
  <c r="D10" i="1"/>
  <c r="H9" i="1"/>
  <c r="G9" i="1"/>
  <c r="E9" i="1" s="1"/>
  <c r="D9" i="1"/>
  <c r="H8" i="1"/>
  <c r="G8" i="1"/>
  <c r="D8" i="1"/>
  <c r="E8" i="1" s="1"/>
  <c r="H7" i="1"/>
  <c r="G7" i="1"/>
  <c r="E7" i="1"/>
  <c r="D7" i="1"/>
  <c r="H6" i="1"/>
  <c r="G6" i="1"/>
  <c r="E6" i="1"/>
  <c r="D6" i="1"/>
  <c r="H5" i="1"/>
  <c r="G5" i="1"/>
  <c r="E5" i="1" s="1"/>
  <c r="D5" i="1"/>
  <c r="H4" i="1"/>
  <c r="G4" i="1"/>
  <c r="F4" i="1" s="1"/>
  <c r="D4" i="1"/>
  <c r="C4" i="1"/>
  <c r="C5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H3" i="1"/>
  <c r="G3" i="1"/>
  <c r="F3" i="1"/>
  <c r="D3" i="1"/>
  <c r="E3" i="1" s="1"/>
  <c r="J2" i="1"/>
  <c r="K2" i="1" s="1"/>
  <c r="L2" i="1" s="1"/>
  <c r="M2" i="1" s="1"/>
  <c r="N2" i="1" s="1"/>
  <c r="O2" i="1" s="1"/>
  <c r="B27" i="1" l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C6" i="1"/>
  <c r="F5" i="1"/>
  <c r="E4" i="1"/>
  <c r="E1" i="1" s="1"/>
  <c r="C7" i="1" l="1"/>
  <c r="F6" i="1"/>
  <c r="C8" i="1" l="1"/>
  <c r="F7" i="1"/>
  <c r="C9" i="1" l="1"/>
  <c r="F8" i="1"/>
  <c r="C10" i="1" l="1"/>
  <c r="F9" i="1"/>
  <c r="F10" i="1" l="1"/>
  <c r="C11" i="1"/>
  <c r="C12" i="1" l="1"/>
  <c r="F11" i="1"/>
  <c r="C13" i="1" l="1"/>
  <c r="F12" i="1"/>
  <c r="C14" i="1" l="1"/>
  <c r="F13" i="1"/>
  <c r="C15" i="1" l="1"/>
  <c r="F14" i="1"/>
  <c r="C16" i="1" l="1"/>
  <c r="F15" i="1"/>
  <c r="C17" i="1" l="1"/>
  <c r="F16" i="1"/>
  <c r="F17" i="1" l="1"/>
  <c r="C18" i="1"/>
  <c r="C19" i="1" l="1"/>
  <c r="F18" i="1"/>
  <c r="C20" i="1" l="1"/>
  <c r="F19" i="1"/>
  <c r="F20" i="1" l="1"/>
  <c r="C21" i="1"/>
  <c r="C22" i="1" l="1"/>
  <c r="F21" i="1"/>
  <c r="C23" i="1" l="1"/>
  <c r="F22" i="1"/>
  <c r="C24" i="1" l="1"/>
  <c r="F23" i="1"/>
  <c r="C25" i="1" l="1"/>
  <c r="F24" i="1"/>
  <c r="C26" i="1" l="1"/>
  <c r="F25" i="1"/>
  <c r="C27" i="1" l="1"/>
  <c r="F27" i="1" s="1"/>
  <c r="F26" i="1"/>
  <c r="C28" i="1"/>
  <c r="C29" i="1" l="1"/>
  <c r="F28" i="1"/>
  <c r="C30" i="1" l="1"/>
  <c r="F29" i="1"/>
  <c r="C31" i="1" l="1"/>
  <c r="F30" i="1"/>
  <c r="C32" i="1" l="1"/>
  <c r="F31" i="1"/>
  <c r="C33" i="1" l="1"/>
  <c r="F32" i="1"/>
  <c r="C34" i="1" l="1"/>
  <c r="F33" i="1"/>
  <c r="F34" i="1" l="1"/>
  <c r="C35" i="1"/>
  <c r="C36" i="1" l="1"/>
  <c r="F35" i="1"/>
  <c r="C37" i="1" l="1"/>
  <c r="F36" i="1"/>
  <c r="C38" i="1" l="1"/>
  <c r="F37" i="1"/>
  <c r="C39" i="1" l="1"/>
  <c r="F38" i="1"/>
  <c r="C40" i="1" l="1"/>
  <c r="F39" i="1"/>
  <c r="C41" i="1" l="1"/>
  <c r="F40" i="1"/>
  <c r="F41" i="1" l="1"/>
  <c r="C42" i="1"/>
  <c r="C43" i="1" l="1"/>
  <c r="F42" i="1"/>
  <c r="C44" i="1" l="1"/>
  <c r="F43" i="1"/>
  <c r="F44" i="1" l="1"/>
  <c r="C45" i="1"/>
  <c r="C46" i="1" l="1"/>
  <c r="F45" i="1"/>
  <c r="C47" i="1" l="1"/>
  <c r="F46" i="1"/>
  <c r="C48" i="1" l="1"/>
  <c r="F47" i="1"/>
  <c r="C49" i="1" l="1"/>
  <c r="F48" i="1"/>
  <c r="C50" i="1" l="1"/>
  <c r="F49" i="1"/>
  <c r="C51" i="1" l="1"/>
  <c r="F51" i="1" s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DF830711-4062-6A4A-A5DB-0C6D66896A29}">
      <text>
        <r>
          <rPr>
            <sz val="10"/>
            <color rgb="FF000000"/>
            <rFont val="Arial"/>
            <family val="2"/>
            <scheme val="minor"/>
          </rPr>
          <t>Double click to Enter current Work Week</t>
        </r>
      </text>
    </comment>
    <comment ref="D2" authorId="0" shapeId="0" xr:uid="{BDA7CBF4-8023-AA44-B438-43997A1103B9}">
      <text>
        <r>
          <rPr>
            <sz val="10"/>
            <color rgb="FF000000"/>
            <rFont val="Arial"/>
            <family val="2"/>
            <scheme val="minor"/>
          </rPr>
          <t>You can only View the pay rate.  The pay rate must be entered on the Payroll Admin Tab</t>
        </r>
      </text>
    </comment>
  </commentList>
</comments>
</file>

<file path=xl/sharedStrings.xml><?xml version="1.0" encoding="utf-8"?>
<sst xmlns="http://schemas.openxmlformats.org/spreadsheetml/2006/main" count="45" uniqueCount="45">
  <si>
    <t>Select Name</t>
  </si>
  <si>
    <t>Select Job Site</t>
  </si>
  <si>
    <t>WW Select</t>
  </si>
  <si>
    <t>Pay Rate</t>
  </si>
  <si>
    <t>Amount</t>
  </si>
  <si>
    <t>Memo</t>
  </si>
  <si>
    <t>Total Hours</t>
  </si>
  <si>
    <t>Subcontractor Cost</t>
  </si>
  <si>
    <t xml:space="preserve">Comments </t>
  </si>
  <si>
    <t>Deduction from Check</t>
  </si>
  <si>
    <t>Subcontract work</t>
  </si>
  <si>
    <t>Owed Amount Remaining</t>
  </si>
  <si>
    <t>Expense Reimbursement</t>
  </si>
  <si>
    <t>Gagnon, Paul</t>
  </si>
  <si>
    <t>Crystal</t>
  </si>
  <si>
    <t>WW02</t>
  </si>
  <si>
    <t>Salazar, Jose (Joey)</t>
  </si>
  <si>
    <t>Palmer, John</t>
  </si>
  <si>
    <t>Baughman, Michael</t>
  </si>
  <si>
    <t>Gagnon, Tyler</t>
  </si>
  <si>
    <t>Barragan Ramirez, Sergio</t>
  </si>
  <si>
    <t>Barragan Ramirez, Victor</t>
  </si>
  <si>
    <t>Bitsie, Gemini</t>
  </si>
  <si>
    <t>Charlie, Daren</t>
  </si>
  <si>
    <t>Chatter, Orlando</t>
  </si>
  <si>
    <t>Chavez, Julio</t>
  </si>
  <si>
    <t>Delfin, Epifanio</t>
  </si>
  <si>
    <t>Delfin, Marcos</t>
  </si>
  <si>
    <t>Francis, Raqhuan</t>
  </si>
  <si>
    <t>Gagnon, Jonn</t>
  </si>
  <si>
    <t xml:space="preserve">Gene, Shaun </t>
  </si>
  <si>
    <t>Jimenez Perez, Mariela</t>
  </si>
  <si>
    <t>Joe, Kevin</t>
  </si>
  <si>
    <t>Jones, Christian</t>
  </si>
  <si>
    <t>Lee, Dwight</t>
  </si>
  <si>
    <t>Lopez, Victor</t>
  </si>
  <si>
    <t>Mendez, Jair</t>
  </si>
  <si>
    <t xml:space="preserve">Mullahon, Ira </t>
  </si>
  <si>
    <t>Sandoval, Quincy</t>
  </si>
  <si>
    <t>Thomas, Latanya</t>
  </si>
  <si>
    <t>Voss, Richard</t>
  </si>
  <si>
    <t>Westbrook, Samantha</t>
  </si>
  <si>
    <t>Whitesheep, Cantrail</t>
  </si>
  <si>
    <t>Yazzie, Bernando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</si>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</sst>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"/>
    <numFmt numFmtId="166" formatCode="ddd\ m/d"/>
    <numFmt numFmtId="167" formatCode="&quot;$&quot;#,##0"/>
  </numFmts>
  <fonts count="10"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1"/>
      <color rgb="FFE6E8F0"/>
      <name val="Monospace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F8E3"/>
        <bgColor rgb="FFFEF8E3"/>
      </patternFill>
    </fill>
    <fill>
      <patternFill patternType="solid">
        <fgColor theme="6"/>
        <bgColor theme="6"/>
      </patternFill>
    </fill>
  </fills>
  <borders count="11">
    <border>
      <left/>
      <right/>
      <top/>
      <bottom/>
      <diagonal/>
    </border>
    <border>
      <left style="thick">
        <color rgb="FF0000FF"/>
      </left>
      <right style="thick">
        <color rgb="FFFF0000"/>
      </right>
      <top style="thick">
        <color rgb="FF0000FF"/>
      </top>
      <bottom style="thick">
        <color rgb="FFFF0000"/>
      </bottom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4" fontId="2" fillId="2" borderId="0" xfId="0" applyNumberFormat="1" applyFont="1" applyFill="1"/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vertical="top" wrapText="1"/>
    </xf>
    <xf numFmtId="164" fontId="1" fillId="3" borderId="3" xfId="0" applyNumberFormat="1" applyFont="1" applyFill="1" applyBorder="1" applyAlignment="1">
      <alignment vertical="top" wrapText="1"/>
    </xf>
    <xf numFmtId="166" fontId="1" fillId="4" borderId="4" xfId="0" applyNumberFormat="1" applyFont="1" applyFill="1" applyBorder="1" applyAlignment="1">
      <alignment vertical="top" wrapText="1"/>
    </xf>
    <xf numFmtId="166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vertical="top" wrapText="1"/>
    </xf>
    <xf numFmtId="0" fontId="3" fillId="5" borderId="0" xfId="0" applyFont="1" applyFill="1"/>
    <xf numFmtId="0" fontId="4" fillId="4" borderId="5" xfId="0" applyFont="1" applyFill="1" applyBorder="1"/>
    <xf numFmtId="0" fontId="3" fillId="4" borderId="6" xfId="0" applyFont="1" applyFill="1" applyBorder="1"/>
    <xf numFmtId="164" fontId="3" fillId="5" borderId="7" xfId="0" applyNumberFormat="1" applyFont="1" applyFill="1" applyBorder="1"/>
    <xf numFmtId="167" fontId="3" fillId="5" borderId="0" xfId="0" applyNumberFormat="1" applyFont="1" applyFill="1"/>
    <xf numFmtId="165" fontId="5" fillId="6" borderId="0" xfId="0" applyNumberFormat="1" applyFont="1" applyFill="1" applyAlignment="1">
      <alignment horizontal="left"/>
    </xf>
    <xf numFmtId="165" fontId="3" fillId="5" borderId="0" xfId="0" applyNumberFormat="1" applyFont="1" applyFill="1" applyAlignment="1">
      <alignment horizontal="left"/>
    </xf>
    <xf numFmtId="164" fontId="3" fillId="5" borderId="8" xfId="0" applyNumberFormat="1" applyFont="1" applyFill="1" applyBorder="1" applyAlignment="1">
      <alignment horizontal="left"/>
    </xf>
    <xf numFmtId="165" fontId="4" fillId="5" borderId="0" xfId="0" applyNumberFormat="1" applyFont="1" applyFill="1"/>
    <xf numFmtId="0" fontId="4" fillId="5" borderId="0" xfId="0" applyFont="1" applyFill="1"/>
    <xf numFmtId="164" fontId="6" fillId="5" borderId="0" xfId="0" applyNumberFormat="1" applyFont="1" applyFill="1"/>
    <xf numFmtId="164" fontId="4" fillId="5" borderId="0" xfId="0" applyNumberFormat="1" applyFont="1" applyFill="1"/>
    <xf numFmtId="164" fontId="3" fillId="5" borderId="0" xfId="0" applyNumberFormat="1" applyFont="1" applyFill="1"/>
    <xf numFmtId="0" fontId="3" fillId="7" borderId="0" xfId="0" applyFont="1" applyFill="1"/>
    <xf numFmtId="0" fontId="4" fillId="7" borderId="0" xfId="0" applyFont="1" applyFill="1"/>
    <xf numFmtId="164" fontId="3" fillId="7" borderId="7" xfId="0" applyNumberFormat="1" applyFont="1" applyFill="1" applyBorder="1"/>
    <xf numFmtId="167" fontId="3" fillId="7" borderId="0" xfId="0" applyNumberFormat="1" applyFont="1" applyFill="1"/>
    <xf numFmtId="165" fontId="3" fillId="7" borderId="0" xfId="0" applyNumberFormat="1" applyFont="1" applyFill="1" applyAlignment="1">
      <alignment horizontal="left"/>
    </xf>
    <xf numFmtId="164" fontId="3" fillId="7" borderId="8" xfId="0" applyNumberFormat="1" applyFont="1" applyFill="1" applyBorder="1" applyAlignment="1">
      <alignment horizontal="left"/>
    </xf>
    <xf numFmtId="165" fontId="4" fillId="7" borderId="0" xfId="0" applyNumberFormat="1" applyFont="1" applyFill="1"/>
    <xf numFmtId="164" fontId="6" fillId="7" borderId="0" xfId="0" applyNumberFormat="1" applyFont="1" applyFill="1"/>
    <xf numFmtId="164" fontId="4" fillId="7" borderId="0" xfId="0" applyNumberFormat="1" applyFont="1" applyFill="1"/>
    <xf numFmtId="164" fontId="3" fillId="7" borderId="0" xfId="0" applyNumberFormat="1" applyFont="1" applyFill="1"/>
    <xf numFmtId="0" fontId="4" fillId="5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164" fontId="7" fillId="7" borderId="0" xfId="0" applyNumberFormat="1" applyFont="1" applyFill="1" applyAlignment="1">
      <alignment horizontal="right"/>
    </xf>
    <xf numFmtId="0" fontId="8" fillId="5" borderId="0" xfId="0" applyFont="1" applyFill="1"/>
    <xf numFmtId="0" fontId="8" fillId="8" borderId="0" xfId="0" applyFont="1" applyFill="1"/>
    <xf numFmtId="165" fontId="5" fillId="7" borderId="0" xfId="0" applyNumberFormat="1" applyFont="1" applyFill="1" applyAlignment="1">
      <alignment horizontal="left"/>
    </xf>
    <xf numFmtId="165" fontId="5" fillId="5" borderId="0" xfId="0" applyNumberFormat="1" applyFont="1" applyFill="1" applyAlignment="1">
      <alignment horizontal="left"/>
    </xf>
    <xf numFmtId="164" fontId="9" fillId="5" borderId="0" xfId="0" applyNumberFormat="1" applyFont="1" applyFill="1"/>
    <xf numFmtId="0" fontId="8" fillId="7" borderId="0" xfId="0" applyFont="1" applyFill="1"/>
    <xf numFmtId="164" fontId="9" fillId="7" borderId="0" xfId="0" applyNumberFormat="1" applyFont="1" applyFill="1"/>
    <xf numFmtId="0" fontId="8" fillId="7" borderId="0" xfId="0" applyFont="1" applyFill="1" applyAlignment="1">
      <alignment vertical="top"/>
    </xf>
    <xf numFmtId="165" fontId="3" fillId="7" borderId="0" xfId="0" applyNumberFormat="1" applyFont="1" applyFill="1" applyAlignment="1">
      <alignment horizontal="left" vertical="top"/>
    </xf>
    <xf numFmtId="0" fontId="3" fillId="7" borderId="0" xfId="0" applyFont="1" applyFill="1" applyAlignment="1">
      <alignment vertical="top"/>
    </xf>
    <xf numFmtId="0" fontId="3" fillId="7" borderId="0" xfId="0" applyFont="1" applyFill="1" applyAlignment="1">
      <alignment vertical="top" wrapText="1"/>
    </xf>
    <xf numFmtId="164" fontId="9" fillId="7" borderId="0" xfId="0" applyNumberFormat="1" applyFont="1" applyFill="1" applyAlignment="1">
      <alignment vertical="top"/>
    </xf>
    <xf numFmtId="164" fontId="3" fillId="7" borderId="0" xfId="0" applyNumberFormat="1" applyFont="1" applyFill="1" applyAlignment="1">
      <alignment vertical="top"/>
    </xf>
    <xf numFmtId="0" fontId="8" fillId="5" borderId="0" xfId="0" applyFont="1" applyFill="1" applyAlignment="1">
      <alignment vertical="top"/>
    </xf>
    <xf numFmtId="165" fontId="3" fillId="5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164" fontId="9" fillId="5" borderId="0" xfId="0" applyNumberFormat="1" applyFont="1" applyFill="1" applyAlignment="1">
      <alignment vertical="top"/>
    </xf>
    <xf numFmtId="164" fontId="3" fillId="5" borderId="0" xfId="0" applyNumberFormat="1" applyFont="1" applyFill="1" applyAlignment="1">
      <alignment vertical="top"/>
    </xf>
    <xf numFmtId="164" fontId="3" fillId="5" borderId="9" xfId="0" applyNumberFormat="1" applyFont="1" applyFill="1" applyBorder="1"/>
    <xf numFmtId="165" fontId="5" fillId="6" borderId="10" xfId="0" applyNumberFormat="1" applyFont="1" applyFill="1" applyBorder="1" applyAlignment="1">
      <alignment horizontal="left"/>
    </xf>
    <xf numFmtId="165" fontId="3" fillId="5" borderId="10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4T%20Data/NEXUS%20Dropbox/NEXUS%20TEAM%20Folder/Tap%20Out%20Construction%20-%20TAP%20-%20Kenny%20Jobs%20-%20Kevin%20Referral/NCC%20-%20Time%20card%20Working%20folder/BIA%20Time%20sheet%20_%20Payroll.xlsx" TargetMode="External"/><Relationship Id="rId1" Type="http://schemas.openxmlformats.org/officeDocument/2006/relationships/externalLinkPath" Target="/Volumes/4T%20Data/NEXUS%20Dropbox/NEXUS%20TEAM%20Folder/Tap%20Out%20Construction%20-%20TAP%20-%20Kenny%20Jobs%20-%20Kevin%20Referral/NCC%20-%20Time%20card%20Working%20folder/BIA%20Time%20sheet%20_%20Pay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gnon Consulting WW Info"/>
      <sheetName val="Payroll Admin 1"/>
      <sheetName val="Unit Price Payroll"/>
      <sheetName val="BIA SOW and INVOICING"/>
      <sheetName val="CCT Corrections"/>
      <sheetName val="CBS Corrections"/>
      <sheetName val="CBS ONLY - WW03 - 2026"/>
      <sheetName val="CCT ONLY - WW03 - 2026"/>
      <sheetName val="CBS ONLY - WW02 -2026"/>
      <sheetName val="CCT ONLY - WW02 - 2026"/>
      <sheetName val="CBS ONLY - WW01 -2026"/>
      <sheetName val="CCT ONLY - WW01 - 2026"/>
      <sheetName val="CBS ONLY - WW52"/>
      <sheetName val="CCT ONLY - WW52"/>
      <sheetName val="CBS ONLY - WW51"/>
      <sheetName val="CCT ONLY - WW51"/>
      <sheetName val="CBS ONLY - WW50"/>
      <sheetName val="CCT ONLY - WW50"/>
      <sheetName val="CBS ONLY - WW49"/>
      <sheetName val="CBS ONLY - WW49-1"/>
      <sheetName val="CBS ONLY - WW48"/>
      <sheetName val="CBS ONLY - WW47"/>
      <sheetName val="CCT ONLY - WW47"/>
      <sheetName val="CBS ONLY - WW46"/>
      <sheetName val="CCT ONLY - WW46"/>
      <sheetName val="CBS ONLY - WW45"/>
      <sheetName val="CBS ONLY - WW44"/>
      <sheetName val="CBS ONLY - WW43"/>
      <sheetName val="CBS ONLY - WW42"/>
      <sheetName val="CBS ONLY - WW41"/>
    </sheetNames>
    <sheetDataSet>
      <sheetData sheetId="0"/>
      <sheetData sheetId="1">
        <row r="3">
          <cell r="G3" t="str">
            <v>Avalos, Alberto</v>
          </cell>
          <cell r="H3">
            <v>0</v>
          </cell>
        </row>
        <row r="4">
          <cell r="G4" t="str">
            <v>Garcia, Alexis</v>
          </cell>
          <cell r="H4">
            <v>30</v>
          </cell>
        </row>
        <row r="5">
          <cell r="G5" t="str">
            <v>Olvera, Angel</v>
          </cell>
          <cell r="H5">
            <v>25</v>
          </cell>
        </row>
        <row r="6">
          <cell r="G6" t="str">
            <v>Palacios, Angel</v>
          </cell>
          <cell r="H6">
            <v>20</v>
          </cell>
        </row>
        <row r="7">
          <cell r="G7" t="str">
            <v>Avalos, Anthony</v>
          </cell>
          <cell r="H7">
            <v>0</v>
          </cell>
        </row>
        <row r="8">
          <cell r="G8" t="str">
            <v>Yazzie, Bernando</v>
          </cell>
          <cell r="H8">
            <v>25</v>
          </cell>
        </row>
        <row r="9">
          <cell r="G9" t="str">
            <v>Ruelas (Calderon), Bernardo (Leobardo)</v>
          </cell>
          <cell r="H9">
            <v>27</v>
          </cell>
        </row>
        <row r="10">
          <cell r="G10" t="str">
            <v>Whitesheep, Cantrail</v>
          </cell>
          <cell r="H10">
            <v>25</v>
          </cell>
        </row>
        <row r="11">
          <cell r="G11" t="str">
            <v>Herrera, Christopher</v>
          </cell>
          <cell r="H11">
            <v>30</v>
          </cell>
        </row>
        <row r="12">
          <cell r="G12" t="str">
            <v>Coronel Lopez, Claudia Judit</v>
          </cell>
          <cell r="H12">
            <v>25</v>
          </cell>
        </row>
        <row r="13">
          <cell r="G13" t="str">
            <v>Mendoza, Diego (Alonso)</v>
          </cell>
          <cell r="H13">
            <v>28</v>
          </cell>
        </row>
        <row r="14">
          <cell r="G14" t="str">
            <v>Mendosa, Diego A</v>
          </cell>
          <cell r="H14">
            <v>28</v>
          </cell>
        </row>
        <row r="15">
          <cell r="G15" t="str">
            <v>Lee, Dwight</v>
          </cell>
          <cell r="H15">
            <v>18.5</v>
          </cell>
        </row>
        <row r="16">
          <cell r="G16" t="str">
            <v>Barber, Eastus</v>
          </cell>
          <cell r="H16">
            <v>20</v>
          </cell>
        </row>
        <row r="17">
          <cell r="G17" t="str">
            <v>Garcia, Edgar</v>
          </cell>
          <cell r="H17">
            <v>28</v>
          </cell>
        </row>
        <row r="18">
          <cell r="G18" t="str">
            <v>Garcia, Eduardo</v>
          </cell>
          <cell r="H18">
            <v>25</v>
          </cell>
        </row>
        <row r="19">
          <cell r="G19" t="str">
            <v>Baez Portillo, Edwin</v>
          </cell>
          <cell r="H19">
            <v>30</v>
          </cell>
        </row>
        <row r="20">
          <cell r="G20" t="str">
            <v>Delfin, Epifanio</v>
          </cell>
          <cell r="H20">
            <v>21</v>
          </cell>
        </row>
        <row r="21">
          <cell r="G21" t="str">
            <v>Moreno Gil, Francisco</v>
          </cell>
          <cell r="H21">
            <v>28</v>
          </cell>
        </row>
        <row r="22">
          <cell r="G22" t="str">
            <v>Martinez, Francisco</v>
          </cell>
          <cell r="H22">
            <v>35</v>
          </cell>
        </row>
        <row r="23">
          <cell r="G23" t="str">
            <v>Beanuelos, Francisco</v>
          </cell>
          <cell r="H23">
            <v>0</v>
          </cell>
        </row>
        <row r="24">
          <cell r="G24" t="str">
            <v>Ortiz, Francisco (Javier)</v>
          </cell>
          <cell r="H24">
            <v>30</v>
          </cell>
        </row>
        <row r="25">
          <cell r="G25" t="str">
            <v>Chavez Espinoza, Francisco R</v>
          </cell>
          <cell r="H25">
            <v>28</v>
          </cell>
        </row>
        <row r="26">
          <cell r="G26" t="str">
            <v>Garcia, Gabriel</v>
          </cell>
          <cell r="H26">
            <v>22</v>
          </cell>
        </row>
        <row r="27">
          <cell r="G27" t="str">
            <v>Taylor, Hansel</v>
          </cell>
          <cell r="H27">
            <v>30</v>
          </cell>
        </row>
        <row r="28">
          <cell r="G28" t="str">
            <v>Moreno, Hector</v>
          </cell>
          <cell r="H28">
            <v>30</v>
          </cell>
        </row>
        <row r="29">
          <cell r="G29" t="str">
            <v>Vazquez, Hector Enrique</v>
          </cell>
          <cell r="H29">
            <v>25</v>
          </cell>
        </row>
        <row r="30">
          <cell r="G30" t="str">
            <v>Mendez, Jair</v>
          </cell>
          <cell r="H30">
            <v>24</v>
          </cell>
        </row>
        <row r="31">
          <cell r="G31" t="str">
            <v>Alcaraz Herrera, Jesus Adan</v>
          </cell>
          <cell r="H31">
            <v>28</v>
          </cell>
        </row>
        <row r="32">
          <cell r="G32" t="str">
            <v>Valenzuela, Jesus Arturo</v>
          </cell>
          <cell r="H32">
            <v>0</v>
          </cell>
        </row>
        <row r="33">
          <cell r="G33" t="str">
            <v>Santillan, Jesus M</v>
          </cell>
          <cell r="H33">
            <v>30</v>
          </cell>
        </row>
        <row r="34">
          <cell r="G34" t="str">
            <v>Martinez, Joel</v>
          </cell>
          <cell r="H34">
            <v>25</v>
          </cell>
        </row>
        <row r="35">
          <cell r="G35" t="str">
            <v>Palmer, John</v>
          </cell>
          <cell r="H35">
            <v>0</v>
          </cell>
        </row>
        <row r="36">
          <cell r="G36" t="str">
            <v>Cruz Esteva, Jonathan</v>
          </cell>
          <cell r="H36">
            <v>35</v>
          </cell>
        </row>
        <row r="37">
          <cell r="G37" t="str">
            <v>Gagnon, Jonn</v>
          </cell>
          <cell r="H37">
            <v>0</v>
          </cell>
        </row>
        <row r="38">
          <cell r="G38" t="str">
            <v>Guzman, Jose</v>
          </cell>
          <cell r="H38">
            <v>27</v>
          </cell>
        </row>
        <row r="39">
          <cell r="G39" t="str">
            <v>Barajas, Jose</v>
          </cell>
          <cell r="H39">
            <v>35</v>
          </cell>
        </row>
        <row r="40">
          <cell r="G40" t="str">
            <v>Salazar, Jose (Joey)</v>
          </cell>
          <cell r="H40">
            <v>0</v>
          </cell>
        </row>
        <row r="41">
          <cell r="G41" t="str">
            <v>Felix Delgado, Juan Carlos</v>
          </cell>
          <cell r="H41">
            <v>28</v>
          </cell>
        </row>
        <row r="42">
          <cell r="G42" t="str">
            <v>Chavez, Julio</v>
          </cell>
          <cell r="H42">
            <v>25</v>
          </cell>
        </row>
        <row r="43">
          <cell r="G43" t="str">
            <v>Joe, Kevin</v>
          </cell>
          <cell r="H43">
            <v>23</v>
          </cell>
        </row>
        <row r="44">
          <cell r="G44" t="str">
            <v>Delfin, Marcos</v>
          </cell>
          <cell r="H44">
            <v>35</v>
          </cell>
        </row>
        <row r="45">
          <cell r="G45" t="str">
            <v>Sepulveda Uqarte, Mario</v>
          </cell>
          <cell r="H45">
            <v>25</v>
          </cell>
        </row>
        <row r="46">
          <cell r="G46" t="str">
            <v>Baughman, Michael</v>
          </cell>
          <cell r="H46">
            <v>0</v>
          </cell>
        </row>
        <row r="47">
          <cell r="G47" t="str">
            <v>Leo Quevedo, Oscar</v>
          </cell>
          <cell r="H47">
            <v>28</v>
          </cell>
        </row>
        <row r="48">
          <cell r="G48" t="str">
            <v>Francis, Raqhuan</v>
          </cell>
          <cell r="H48">
            <v>20</v>
          </cell>
        </row>
        <row r="49">
          <cell r="G49" t="str">
            <v>Voss, Richard</v>
          </cell>
          <cell r="H49">
            <v>35</v>
          </cell>
        </row>
        <row r="50">
          <cell r="G50" t="str">
            <v>Barragan Ramirez, Sergio</v>
          </cell>
          <cell r="H50">
            <v>25</v>
          </cell>
        </row>
        <row r="51">
          <cell r="G51" t="str">
            <v xml:space="preserve">Gene, Shaun </v>
          </cell>
          <cell r="H51">
            <v>19</v>
          </cell>
        </row>
        <row r="52">
          <cell r="G52" t="str">
            <v>Gagnon, Tyler</v>
          </cell>
          <cell r="H52">
            <v>0</v>
          </cell>
        </row>
        <row r="53">
          <cell r="G53" t="str">
            <v>Barragan Ramirez, Victor</v>
          </cell>
          <cell r="H53">
            <v>25</v>
          </cell>
        </row>
        <row r="54">
          <cell r="G54" t="str">
            <v>Lopez, Victor</v>
          </cell>
          <cell r="H54">
            <v>21</v>
          </cell>
        </row>
        <row r="55">
          <cell r="G55" t="str">
            <v>Triolo, Vincenzo</v>
          </cell>
          <cell r="H55">
            <v>30</v>
          </cell>
        </row>
        <row r="56">
          <cell r="G56" t="str">
            <v>Kenneth, Kevin</v>
          </cell>
          <cell r="H56">
            <v>18</v>
          </cell>
        </row>
        <row r="57">
          <cell r="G57" t="str">
            <v>Billy, Kacy</v>
          </cell>
          <cell r="H57">
            <v>18</v>
          </cell>
        </row>
        <row r="58">
          <cell r="G58" t="str">
            <v>Bitsie, Gemini</v>
          </cell>
          <cell r="H58">
            <v>20</v>
          </cell>
        </row>
        <row r="59">
          <cell r="G59" t="str">
            <v xml:space="preserve">Mullahon, Ira </v>
          </cell>
          <cell r="H59">
            <v>20</v>
          </cell>
        </row>
        <row r="60">
          <cell r="G60" t="str">
            <v>Chatter, Orlando</v>
          </cell>
          <cell r="H60">
            <v>20.5</v>
          </cell>
        </row>
        <row r="61">
          <cell r="G61" t="str">
            <v>Westbrook, Samantha</v>
          </cell>
          <cell r="H61">
            <v>16</v>
          </cell>
        </row>
        <row r="62">
          <cell r="G62" t="str">
            <v>Jones, Christian</v>
          </cell>
          <cell r="H62">
            <v>20</v>
          </cell>
        </row>
        <row r="63">
          <cell r="G63" t="str">
            <v>Charlie, Daren</v>
          </cell>
          <cell r="H63">
            <v>20.5</v>
          </cell>
        </row>
        <row r="64">
          <cell r="G64" t="str">
            <v>Joe, Kenneth</v>
          </cell>
          <cell r="H64">
            <v>18</v>
          </cell>
        </row>
        <row r="65">
          <cell r="G65" t="str">
            <v>Arthur, Adrian</v>
          </cell>
          <cell r="H65">
            <v>22.5</v>
          </cell>
        </row>
        <row r="66">
          <cell r="G66" t="str">
            <v>Sandoval, Quincy</v>
          </cell>
          <cell r="H66">
            <v>18</v>
          </cell>
        </row>
        <row r="67">
          <cell r="G67" t="str">
            <v>Thomas, Latanya</v>
          </cell>
          <cell r="H67">
            <v>20</v>
          </cell>
        </row>
        <row r="68">
          <cell r="G68" t="str">
            <v>Jimenez Perez, Mariela</v>
          </cell>
          <cell r="H68">
            <v>20</v>
          </cell>
        </row>
        <row r="69">
          <cell r="G69" t="str">
            <v>Goodluck, Robertson</v>
          </cell>
          <cell r="H69">
            <v>22.5</v>
          </cell>
        </row>
        <row r="70">
          <cell r="G70" t="str">
            <v xml:space="preserve">, </v>
          </cell>
          <cell r="H70">
            <v>0</v>
          </cell>
        </row>
        <row r="71">
          <cell r="G71" t="str">
            <v xml:space="preserve">, </v>
          </cell>
          <cell r="H71">
            <v>0</v>
          </cell>
        </row>
        <row r="72">
          <cell r="G72" t="str">
            <v xml:space="preserve">, </v>
          </cell>
          <cell r="H72">
            <v>0</v>
          </cell>
        </row>
        <row r="73">
          <cell r="G73" t="str">
            <v xml:space="preserve">, </v>
          </cell>
          <cell r="H73">
            <v>0</v>
          </cell>
        </row>
        <row r="74">
          <cell r="G74" t="str">
            <v xml:space="preserve">, </v>
          </cell>
          <cell r="H74">
            <v>0</v>
          </cell>
        </row>
        <row r="75">
          <cell r="G75" t="str">
            <v xml:space="preserve">, </v>
          </cell>
          <cell r="H75">
            <v>0</v>
          </cell>
        </row>
        <row r="76">
          <cell r="G76" t="str">
            <v xml:space="preserve">, </v>
          </cell>
          <cell r="H76">
            <v>0</v>
          </cell>
        </row>
        <row r="77">
          <cell r="G77" t="str">
            <v xml:space="preserve">, </v>
          </cell>
          <cell r="H77">
            <v>0</v>
          </cell>
        </row>
        <row r="78">
          <cell r="G78" t="str">
            <v xml:space="preserve">, </v>
          </cell>
          <cell r="H78">
            <v>0</v>
          </cell>
        </row>
        <row r="79">
          <cell r="G79" t="str">
            <v xml:space="preserve">, </v>
          </cell>
          <cell r="H79">
            <v>0</v>
          </cell>
        </row>
        <row r="80">
          <cell r="G80" t="str">
            <v xml:space="preserve">, </v>
          </cell>
          <cell r="H80">
            <v>0</v>
          </cell>
        </row>
        <row r="81">
          <cell r="G81" t="str">
            <v xml:space="preserve">, </v>
          </cell>
          <cell r="H81">
            <v>0</v>
          </cell>
        </row>
        <row r="82">
          <cell r="G82" t="str">
            <v xml:space="preserve">, </v>
          </cell>
          <cell r="H82">
            <v>0</v>
          </cell>
        </row>
        <row r="83">
          <cell r="G83" t="str">
            <v xml:space="preserve">, </v>
          </cell>
          <cell r="H83">
            <v>0</v>
          </cell>
        </row>
        <row r="84">
          <cell r="G84" t="str">
            <v xml:space="preserve">, </v>
          </cell>
          <cell r="H84">
            <v>0</v>
          </cell>
        </row>
        <row r="85">
          <cell r="G85" t="str">
            <v xml:space="preserve">, </v>
          </cell>
          <cell r="H85">
            <v>0</v>
          </cell>
        </row>
        <row r="86">
          <cell r="G86" t="str">
            <v xml:space="preserve">, </v>
          </cell>
          <cell r="H86">
            <v>0</v>
          </cell>
        </row>
        <row r="87">
          <cell r="G87" t="str">
            <v xml:space="preserve">, </v>
          </cell>
          <cell r="H87">
            <v>0</v>
          </cell>
        </row>
        <row r="88">
          <cell r="G88" t="str">
            <v xml:space="preserve">, </v>
          </cell>
          <cell r="H88">
            <v>0</v>
          </cell>
        </row>
        <row r="89">
          <cell r="G89" t="str">
            <v xml:space="preserve">, </v>
          </cell>
          <cell r="H89">
            <v>0</v>
          </cell>
        </row>
        <row r="90">
          <cell r="G90" t="str">
            <v xml:space="preserve">, </v>
          </cell>
          <cell r="H90">
            <v>0</v>
          </cell>
        </row>
        <row r="91">
          <cell r="G91" t="str">
            <v xml:space="preserve">, </v>
          </cell>
          <cell r="H91">
            <v>0</v>
          </cell>
        </row>
        <row r="92">
          <cell r="G92" t="str">
            <v xml:space="preserve">, </v>
          </cell>
          <cell r="H92">
            <v>0</v>
          </cell>
        </row>
        <row r="93">
          <cell r="G93" t="str">
            <v xml:space="preserve">, </v>
          </cell>
          <cell r="H93">
            <v>0</v>
          </cell>
        </row>
        <row r="94">
          <cell r="G94" t="str">
            <v xml:space="preserve">, </v>
          </cell>
          <cell r="H94">
            <v>0</v>
          </cell>
        </row>
        <row r="95">
          <cell r="G95" t="str">
            <v xml:space="preserve">, </v>
          </cell>
          <cell r="H95">
            <v>0</v>
          </cell>
        </row>
        <row r="96">
          <cell r="G96" t="str">
            <v xml:space="preserve">, </v>
          </cell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B3B7-5398-0143-B8FD-C6F218410604}">
  <sheetPr>
    <tabColor rgb="FF0000FF"/>
    <outlinePr summaryBelow="0" summaryRight="0"/>
    <pageSetUpPr fitToPage="1"/>
  </sheetPr>
  <dimension ref="A1:AI51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4" max="14" width="14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 thickBot="1">
      <c r="A1" s="1"/>
      <c r="B1" s="1"/>
      <c r="C1" s="1"/>
      <c r="D1" s="2"/>
      <c r="E1" s="3">
        <f>SUMIF(E3:E51,"&lt;&gt;#N/A")</f>
        <v>11097.5</v>
      </c>
      <c r="F1" s="4"/>
      <c r="G1" s="4"/>
      <c r="H1" s="2"/>
      <c r="I1" s="5"/>
      <c r="J1" s="6"/>
      <c r="K1" s="6"/>
      <c r="L1" s="6"/>
      <c r="M1" s="6"/>
      <c r="N1" s="6"/>
      <c r="O1" s="6"/>
      <c r="P1" s="1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customHeight="1" thickTop="1" thickBot="1">
      <c r="A2" s="7" t="s">
        <v>0</v>
      </c>
      <c r="B2" s="7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0" t="s">
        <v>6</v>
      </c>
      <c r="H2" s="11" t="s">
        <v>7</v>
      </c>
      <c r="I2" s="12">
        <v>46031</v>
      </c>
      <c r="J2" s="13">
        <f t="shared" ref="J2:O2" si="0">I2+1</f>
        <v>46032</v>
      </c>
      <c r="K2" s="13">
        <f t="shared" si="0"/>
        <v>46033</v>
      </c>
      <c r="L2" s="13">
        <f t="shared" si="0"/>
        <v>46034</v>
      </c>
      <c r="M2" s="13">
        <f t="shared" si="0"/>
        <v>46035</v>
      </c>
      <c r="N2" s="13">
        <f t="shared" si="0"/>
        <v>46036</v>
      </c>
      <c r="O2" s="13">
        <f t="shared" si="0"/>
        <v>46037</v>
      </c>
      <c r="P2" s="7" t="s">
        <v>8</v>
      </c>
      <c r="Q2" s="14" t="s">
        <v>9</v>
      </c>
      <c r="R2" s="14" t="s">
        <v>10</v>
      </c>
      <c r="S2" s="14" t="s">
        <v>11</v>
      </c>
      <c r="T2" s="14" t="s">
        <v>12</v>
      </c>
      <c r="U2" s="7">
        <v>1099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ht="15.75" customHeight="1" thickTop="1" thickBot="1">
      <c r="A3" s="15" t="s">
        <v>13</v>
      </c>
      <c r="B3" s="16" t="s">
        <v>14</v>
      </c>
      <c r="C3" s="17" t="s">
        <v>15</v>
      </c>
      <c r="D3" s="18" t="e">
        <f>VLOOKUP( A3,'[1]Payroll Admin 1'!$G$3:$H$96,2,FALSE)</f>
        <v>#N/A</v>
      </c>
      <c r="E3" s="19" t="e">
        <f t="shared" ref="E3:E51" si="1">(G3*D3)+H3</f>
        <v>#N/A</v>
      </c>
      <c r="F3" s="20" t="str">
        <f t="shared" ref="F3:F51" si="2">CONCATENATE(C3," ", G3," ","Hrs")</f>
        <v>WW02 0 Hrs</v>
      </c>
      <c r="G3" s="21">
        <f t="shared" ref="G3:G51" si="3">SUM(I3:O3)</f>
        <v>0</v>
      </c>
      <c r="H3" s="22">
        <f t="shared" ref="H3:H51" si="4">SUM(R3:T3)-Q3</f>
        <v>0</v>
      </c>
      <c r="I3" s="23"/>
      <c r="J3" s="24"/>
      <c r="K3" s="24"/>
      <c r="L3" s="24"/>
      <c r="M3" s="24"/>
      <c r="N3" s="24"/>
      <c r="O3" s="24"/>
      <c r="P3" s="24"/>
      <c r="Q3" s="25"/>
      <c r="R3" s="26"/>
      <c r="S3" s="27"/>
      <c r="T3" s="2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ht="15.75" customHeight="1" thickTop="1">
      <c r="A4" s="28" t="s">
        <v>16</v>
      </c>
      <c r="B4" s="29" t="str">
        <f t="shared" ref="B4:C19" si="5">B3</f>
        <v>Crystal</v>
      </c>
      <c r="C4" s="28" t="str">
        <f t="shared" si="5"/>
        <v>WW02</v>
      </c>
      <c r="D4" s="30">
        <f>VLOOKUP( A4,'[1]Payroll Admin 1'!$G$3:$H$96,2,FALSE)</f>
        <v>0</v>
      </c>
      <c r="E4" s="31">
        <f t="shared" si="1"/>
        <v>0</v>
      </c>
      <c r="F4" s="20" t="str">
        <f t="shared" si="2"/>
        <v>WW02 19 Hrs</v>
      </c>
      <c r="G4" s="32">
        <f t="shared" si="3"/>
        <v>19</v>
      </c>
      <c r="H4" s="33">
        <f t="shared" si="4"/>
        <v>0</v>
      </c>
      <c r="I4" s="34"/>
      <c r="J4" s="29"/>
      <c r="K4" s="29"/>
      <c r="L4" s="29">
        <v>9.5</v>
      </c>
      <c r="M4" s="29"/>
      <c r="N4" s="29"/>
      <c r="O4" s="29">
        <v>9.5</v>
      </c>
      <c r="P4" s="29"/>
      <c r="Q4" s="35"/>
      <c r="R4" s="36"/>
      <c r="S4" s="37"/>
      <c r="T4" s="37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</row>
    <row r="5" spans="1:35" ht="15.75" customHeight="1">
      <c r="A5" s="15" t="s">
        <v>17</v>
      </c>
      <c r="B5" s="24" t="str">
        <f t="shared" si="5"/>
        <v>Crystal</v>
      </c>
      <c r="C5" s="15" t="str">
        <f t="shared" si="5"/>
        <v>WW02</v>
      </c>
      <c r="D5" s="18">
        <f>VLOOKUP( A5,'[1]Payroll Admin 1'!$G$3:$H$96,2,FALSE)</f>
        <v>0</v>
      </c>
      <c r="E5" s="19">
        <f t="shared" si="1"/>
        <v>0</v>
      </c>
      <c r="F5" s="20" t="str">
        <f t="shared" si="2"/>
        <v>WW02 19 Hrs</v>
      </c>
      <c r="G5" s="21">
        <f t="shared" si="3"/>
        <v>19</v>
      </c>
      <c r="H5" s="22">
        <f t="shared" si="4"/>
        <v>0</v>
      </c>
      <c r="I5" s="23"/>
      <c r="J5" s="38"/>
      <c r="K5" s="24"/>
      <c r="L5" s="38"/>
      <c r="M5" s="38"/>
      <c r="N5" s="24">
        <v>9.5</v>
      </c>
      <c r="O5" s="24">
        <v>9.5</v>
      </c>
      <c r="P5" s="24"/>
      <c r="Q5" s="25"/>
      <c r="R5" s="26"/>
      <c r="S5" s="27"/>
      <c r="T5" s="27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1:35" ht="15.75" customHeight="1">
      <c r="A6" s="28" t="s">
        <v>18</v>
      </c>
      <c r="B6" s="29" t="str">
        <f t="shared" si="5"/>
        <v>Crystal</v>
      </c>
      <c r="C6" s="28" t="str">
        <f t="shared" si="5"/>
        <v>WW02</v>
      </c>
      <c r="D6" s="30">
        <f>VLOOKUP( A6,'[1]Payroll Admin 1'!$G$3:$H$96,2,FALSE)</f>
        <v>0</v>
      </c>
      <c r="E6" s="31">
        <f t="shared" si="1"/>
        <v>0</v>
      </c>
      <c r="F6" s="20" t="str">
        <f t="shared" si="2"/>
        <v>WW02 19 Hrs</v>
      </c>
      <c r="G6" s="32">
        <f t="shared" si="3"/>
        <v>19</v>
      </c>
      <c r="H6" s="33">
        <f t="shared" si="4"/>
        <v>0</v>
      </c>
      <c r="I6" s="34"/>
      <c r="J6" s="39"/>
      <c r="K6" s="29"/>
      <c r="L6" s="39">
        <v>9.5</v>
      </c>
      <c r="M6" s="39">
        <v>9.5</v>
      </c>
      <c r="N6" s="29"/>
      <c r="O6" s="29"/>
      <c r="P6" s="29"/>
      <c r="Q6" s="35"/>
      <c r="R6" s="36"/>
      <c r="S6" s="37"/>
      <c r="T6" s="37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</row>
    <row r="7" spans="1:35" ht="15.75" customHeight="1">
      <c r="A7" s="15" t="s">
        <v>19</v>
      </c>
      <c r="B7" s="24" t="str">
        <f t="shared" si="5"/>
        <v>Crystal</v>
      </c>
      <c r="C7" s="15" t="str">
        <f t="shared" si="5"/>
        <v>WW02</v>
      </c>
      <c r="D7" s="18">
        <f>VLOOKUP( A7,'[1]Payroll Admin 1'!$G$3:$H$96,2,FALSE)</f>
        <v>0</v>
      </c>
      <c r="E7" s="19">
        <f t="shared" si="1"/>
        <v>0</v>
      </c>
      <c r="F7" s="20" t="str">
        <f t="shared" si="2"/>
        <v>WW02 2 Hrs</v>
      </c>
      <c r="G7" s="21">
        <f t="shared" si="3"/>
        <v>2</v>
      </c>
      <c r="H7" s="22">
        <f t="shared" si="4"/>
        <v>0</v>
      </c>
      <c r="I7" s="23"/>
      <c r="J7" s="23"/>
      <c r="K7" s="38"/>
      <c r="L7" s="38"/>
      <c r="M7" s="38"/>
      <c r="N7" s="24"/>
      <c r="O7" s="24">
        <v>2</v>
      </c>
      <c r="P7" s="24"/>
      <c r="Q7" s="25"/>
      <c r="R7" s="26"/>
      <c r="S7" s="27"/>
      <c r="T7" s="27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ht="15.75" customHeight="1">
      <c r="A8" s="28" t="s">
        <v>20</v>
      </c>
      <c r="B8" s="29" t="str">
        <f t="shared" si="5"/>
        <v>Crystal</v>
      </c>
      <c r="C8" s="28" t="str">
        <f t="shared" si="5"/>
        <v>WW02</v>
      </c>
      <c r="D8" s="30">
        <f>VLOOKUP( A8,'[1]Payroll Admin 1'!$G$3:$H$96,2,FALSE)</f>
        <v>25</v>
      </c>
      <c r="E8" s="31">
        <f t="shared" si="1"/>
        <v>950</v>
      </c>
      <c r="F8" s="20" t="str">
        <f t="shared" si="2"/>
        <v>WW02 38 Hrs</v>
      </c>
      <c r="G8" s="32">
        <f t="shared" si="3"/>
        <v>38</v>
      </c>
      <c r="H8" s="33">
        <f t="shared" si="4"/>
        <v>0</v>
      </c>
      <c r="I8" s="34"/>
      <c r="J8" s="34"/>
      <c r="L8" s="39">
        <v>9.5</v>
      </c>
      <c r="M8" s="39">
        <v>9.5</v>
      </c>
      <c r="N8" s="29">
        <v>9.5</v>
      </c>
      <c r="O8" s="29">
        <v>9.5</v>
      </c>
      <c r="P8" s="29"/>
      <c r="Q8" s="40"/>
      <c r="R8" s="36"/>
      <c r="S8" s="37"/>
      <c r="T8" s="37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</row>
    <row r="9" spans="1:35" ht="15.75" customHeight="1">
      <c r="A9" s="41" t="s">
        <v>21</v>
      </c>
      <c r="B9" s="24" t="str">
        <f t="shared" si="5"/>
        <v>Crystal</v>
      </c>
      <c r="C9" s="15" t="str">
        <f t="shared" si="5"/>
        <v>WW02</v>
      </c>
      <c r="D9" s="18">
        <f>VLOOKUP( A9,'[1]Payroll Admin 1'!$G$3:$H$96,2,FALSE)</f>
        <v>25</v>
      </c>
      <c r="E9" s="19">
        <f t="shared" si="1"/>
        <v>950</v>
      </c>
      <c r="F9" s="20" t="str">
        <f t="shared" si="2"/>
        <v>WW02 38 Hrs</v>
      </c>
      <c r="G9" s="21">
        <f t="shared" si="3"/>
        <v>38</v>
      </c>
      <c r="H9" s="22">
        <f t="shared" si="4"/>
        <v>0</v>
      </c>
      <c r="I9" s="23"/>
      <c r="J9" s="23"/>
      <c r="L9" s="38">
        <v>9.5</v>
      </c>
      <c r="M9" s="38">
        <v>9.5</v>
      </c>
      <c r="N9" s="24">
        <v>9.5</v>
      </c>
      <c r="O9" s="24">
        <v>9.5</v>
      </c>
      <c r="P9" s="24"/>
      <c r="Q9" s="25"/>
      <c r="R9" s="26"/>
      <c r="S9" s="27"/>
      <c r="T9" s="27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15.75" customHeight="1">
      <c r="A10" s="42" t="s">
        <v>22</v>
      </c>
      <c r="B10" s="29" t="str">
        <f t="shared" si="5"/>
        <v>Crystal</v>
      </c>
      <c r="C10" s="28" t="str">
        <f t="shared" si="5"/>
        <v>WW02</v>
      </c>
      <c r="D10" s="30">
        <f>VLOOKUP( A10,'[1]Payroll Admin 1'!$G$3:$H$96,2,FALSE)</f>
        <v>20</v>
      </c>
      <c r="E10" s="31">
        <f t="shared" si="1"/>
        <v>380</v>
      </c>
      <c r="F10" s="43" t="str">
        <f t="shared" si="2"/>
        <v>WW02 19 Hrs</v>
      </c>
      <c r="G10" s="32">
        <f t="shared" si="3"/>
        <v>19</v>
      </c>
      <c r="H10" s="33">
        <f t="shared" si="4"/>
        <v>0</v>
      </c>
      <c r="I10" s="34"/>
      <c r="J10" s="34"/>
      <c r="K10" s="29"/>
      <c r="L10" s="39"/>
      <c r="M10" s="39"/>
      <c r="N10" s="29">
        <v>9.5</v>
      </c>
      <c r="O10" s="29">
        <v>9.5</v>
      </c>
      <c r="P10" s="29"/>
      <c r="Q10" s="35"/>
      <c r="R10" s="36"/>
      <c r="S10" s="37"/>
      <c r="T10" s="37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spans="1:35" ht="15.75" customHeight="1">
      <c r="A11" s="41" t="s">
        <v>23</v>
      </c>
      <c r="B11" s="24" t="str">
        <f t="shared" si="5"/>
        <v>Crystal</v>
      </c>
      <c r="C11" s="15" t="str">
        <f t="shared" si="5"/>
        <v>WW02</v>
      </c>
      <c r="D11" s="18">
        <f>VLOOKUP( A11,'[1]Payroll Admin 1'!$G$3:$H$96,2,FALSE)</f>
        <v>20.5</v>
      </c>
      <c r="E11" s="19">
        <f t="shared" si="1"/>
        <v>779</v>
      </c>
      <c r="F11" s="44" t="str">
        <f t="shared" si="2"/>
        <v>WW02 38 Hrs</v>
      </c>
      <c r="G11" s="21">
        <f t="shared" si="3"/>
        <v>38</v>
      </c>
      <c r="H11" s="22">
        <f t="shared" si="4"/>
        <v>0</v>
      </c>
      <c r="I11" s="21"/>
      <c r="J11" s="15"/>
      <c r="K11" s="15"/>
      <c r="L11" s="15">
        <v>9.5</v>
      </c>
      <c r="M11" s="15">
        <v>9.5</v>
      </c>
      <c r="N11" s="15">
        <v>9.5</v>
      </c>
      <c r="O11" s="15">
        <v>9.5</v>
      </c>
      <c r="P11" s="15"/>
      <c r="Q11" s="45"/>
      <c r="R11" s="27"/>
      <c r="S11" s="27"/>
      <c r="T11" s="27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ht="15.75" customHeight="1">
      <c r="A12" s="46" t="s">
        <v>24</v>
      </c>
      <c r="B12" s="29" t="str">
        <f t="shared" si="5"/>
        <v>Crystal</v>
      </c>
      <c r="C12" s="28" t="str">
        <f t="shared" si="5"/>
        <v>WW02</v>
      </c>
      <c r="D12" s="30">
        <f>VLOOKUP( A12,'[1]Payroll Admin 1'!$G$3:$H$96,2,FALSE)</f>
        <v>20.5</v>
      </c>
      <c r="E12" s="31">
        <f t="shared" si="1"/>
        <v>779</v>
      </c>
      <c r="F12" s="43" t="str">
        <f t="shared" si="2"/>
        <v>WW02 38 Hrs</v>
      </c>
      <c r="G12" s="32">
        <f t="shared" si="3"/>
        <v>38</v>
      </c>
      <c r="H12" s="33">
        <f t="shared" si="4"/>
        <v>0</v>
      </c>
      <c r="I12" s="32"/>
      <c r="J12" s="28"/>
      <c r="K12" s="28"/>
      <c r="L12" s="28">
        <v>9.5</v>
      </c>
      <c r="M12" s="28">
        <v>9.5</v>
      </c>
      <c r="N12" s="28">
        <v>9.5</v>
      </c>
      <c r="O12" s="28">
        <v>9.5</v>
      </c>
      <c r="P12" s="28"/>
      <c r="Q12" s="47"/>
      <c r="R12" s="37"/>
      <c r="S12" s="37"/>
      <c r="T12" s="37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spans="1:35" ht="15.75" customHeight="1">
      <c r="A13" s="41" t="s">
        <v>25</v>
      </c>
      <c r="B13" s="24" t="str">
        <f t="shared" si="5"/>
        <v>Crystal</v>
      </c>
      <c r="C13" s="15" t="str">
        <f t="shared" si="5"/>
        <v>WW02</v>
      </c>
      <c r="D13" s="18">
        <f>VLOOKUP( A13,'[1]Payroll Admin 1'!$G$3:$H$96,2,FALSE)</f>
        <v>25</v>
      </c>
      <c r="E13" s="19">
        <f t="shared" si="1"/>
        <v>237.5</v>
      </c>
      <c r="F13" s="20" t="str">
        <f t="shared" si="2"/>
        <v>WW02 9.5 Hrs</v>
      </c>
      <c r="G13" s="21">
        <f t="shared" si="3"/>
        <v>9.5</v>
      </c>
      <c r="H13" s="22">
        <f t="shared" si="4"/>
        <v>0</v>
      </c>
      <c r="I13" s="23"/>
      <c r="J13" s="23"/>
      <c r="K13" s="38"/>
      <c r="L13" s="38"/>
      <c r="M13" s="38"/>
      <c r="N13" s="24"/>
      <c r="O13" s="24">
        <v>9.5</v>
      </c>
      <c r="Q13" s="25"/>
      <c r="R13" s="26"/>
      <c r="S13" s="27"/>
      <c r="T13" s="27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ht="15.75" customHeight="1">
      <c r="A14" s="46" t="s">
        <v>26</v>
      </c>
      <c r="B14" s="29" t="str">
        <f t="shared" si="5"/>
        <v>Crystal</v>
      </c>
      <c r="C14" s="28" t="str">
        <f t="shared" si="5"/>
        <v>WW02</v>
      </c>
      <c r="D14" s="30">
        <f>VLOOKUP( A14,'[1]Payroll Admin 1'!$G$3:$H$96,2,FALSE)</f>
        <v>21</v>
      </c>
      <c r="E14" s="31">
        <f t="shared" si="1"/>
        <v>199.5</v>
      </c>
      <c r="F14" s="20" t="str">
        <f t="shared" si="2"/>
        <v>WW02 9.5 Hrs</v>
      </c>
      <c r="G14" s="32">
        <f t="shared" si="3"/>
        <v>9.5</v>
      </c>
      <c r="H14" s="33">
        <f t="shared" si="4"/>
        <v>0</v>
      </c>
      <c r="I14" s="34"/>
      <c r="J14" s="34"/>
      <c r="L14" s="39"/>
      <c r="M14" s="39"/>
      <c r="N14" s="29"/>
      <c r="O14" s="29">
        <v>9.5</v>
      </c>
      <c r="P14" s="29"/>
      <c r="Q14" s="35"/>
      <c r="R14" s="36"/>
      <c r="S14" s="37"/>
      <c r="T14" s="37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ht="15.75" customHeight="1">
      <c r="A15" s="41" t="s">
        <v>27</v>
      </c>
      <c r="B15" s="24" t="str">
        <f t="shared" si="5"/>
        <v>Crystal</v>
      </c>
      <c r="C15" s="15" t="str">
        <f t="shared" si="5"/>
        <v>WW02</v>
      </c>
      <c r="D15" s="18">
        <f>VLOOKUP( A15,'[1]Payroll Admin 1'!$G$3:$H$96,2,FALSE)</f>
        <v>35</v>
      </c>
      <c r="E15" s="19">
        <f t="shared" si="1"/>
        <v>332.5</v>
      </c>
      <c r="F15" s="20" t="str">
        <f t="shared" si="2"/>
        <v>WW02 9.5 Hrs</v>
      </c>
      <c r="G15" s="21">
        <f t="shared" si="3"/>
        <v>9.5</v>
      </c>
      <c r="H15" s="22">
        <f t="shared" si="4"/>
        <v>0</v>
      </c>
      <c r="I15" s="23"/>
      <c r="J15" s="23"/>
      <c r="L15" s="38"/>
      <c r="M15" s="38"/>
      <c r="N15" s="24"/>
      <c r="O15" s="24">
        <v>9.5</v>
      </c>
      <c r="P15" s="24"/>
      <c r="Q15" s="25"/>
      <c r="R15" s="26"/>
      <c r="S15" s="27"/>
      <c r="T15" s="27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5.75" customHeight="1">
      <c r="A16" s="46" t="s">
        <v>28</v>
      </c>
      <c r="B16" s="29" t="str">
        <f t="shared" si="5"/>
        <v>Crystal</v>
      </c>
      <c r="C16" s="28" t="str">
        <f t="shared" si="5"/>
        <v>WW02</v>
      </c>
      <c r="D16" s="30">
        <f>VLOOKUP( A16,'[1]Payroll Admin 1'!$G$3:$H$96,2,FALSE)</f>
        <v>20</v>
      </c>
      <c r="E16" s="31">
        <f t="shared" si="1"/>
        <v>760</v>
      </c>
      <c r="F16" s="43" t="str">
        <f t="shared" si="2"/>
        <v>WW02 38 Hrs</v>
      </c>
      <c r="G16" s="32">
        <f t="shared" si="3"/>
        <v>38</v>
      </c>
      <c r="H16" s="33">
        <f t="shared" si="4"/>
        <v>0</v>
      </c>
      <c r="I16" s="34"/>
      <c r="J16" s="34"/>
      <c r="K16" s="29"/>
      <c r="L16" s="39">
        <v>9.5</v>
      </c>
      <c r="M16" s="39">
        <v>9.5</v>
      </c>
      <c r="N16" s="29">
        <v>9.5</v>
      </c>
      <c r="O16" s="29">
        <v>9.5</v>
      </c>
      <c r="P16" s="29"/>
      <c r="Q16" s="35"/>
      <c r="R16" s="36"/>
      <c r="S16" s="37"/>
      <c r="T16" s="37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ht="15.75" customHeight="1">
      <c r="A17" s="15" t="s">
        <v>29</v>
      </c>
      <c r="B17" s="24" t="str">
        <f t="shared" si="5"/>
        <v>Crystal</v>
      </c>
      <c r="C17" s="15" t="str">
        <f t="shared" si="5"/>
        <v>WW02</v>
      </c>
      <c r="D17" s="18">
        <f>VLOOKUP( A17,'[1]Payroll Admin 1'!$G$3:$H$96,2,FALSE)</f>
        <v>0</v>
      </c>
      <c r="E17" s="19">
        <f t="shared" si="1"/>
        <v>0</v>
      </c>
      <c r="F17" s="20" t="str">
        <f t="shared" si="2"/>
        <v>WW02 0 Hrs</v>
      </c>
      <c r="G17" s="21">
        <f t="shared" si="3"/>
        <v>0</v>
      </c>
      <c r="H17" s="22">
        <f t="shared" si="4"/>
        <v>0</v>
      </c>
      <c r="I17" s="23"/>
      <c r="J17" s="23"/>
      <c r="L17" s="38"/>
      <c r="M17" s="38"/>
      <c r="N17" s="24"/>
      <c r="O17" s="24"/>
      <c r="P17" s="24"/>
      <c r="Q17" s="25"/>
      <c r="R17" s="26"/>
      <c r="S17" s="27"/>
      <c r="T17" s="27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15.75" customHeight="1">
      <c r="A18" s="42" t="s">
        <v>30</v>
      </c>
      <c r="B18" s="29" t="str">
        <f t="shared" si="5"/>
        <v>Crystal</v>
      </c>
      <c r="C18" s="28" t="str">
        <f t="shared" si="5"/>
        <v>WW02</v>
      </c>
      <c r="D18" s="30">
        <f>VLOOKUP( A18,'[1]Payroll Admin 1'!$G$3:$H$96,2,FALSE)</f>
        <v>19</v>
      </c>
      <c r="E18" s="31">
        <f t="shared" si="1"/>
        <v>636.5</v>
      </c>
      <c r="F18" s="43" t="str">
        <f t="shared" si="2"/>
        <v>WW02 33.5 Hrs</v>
      </c>
      <c r="G18" s="32">
        <f t="shared" si="3"/>
        <v>33.5</v>
      </c>
      <c r="H18" s="33">
        <f t="shared" si="4"/>
        <v>0</v>
      </c>
      <c r="I18" s="34"/>
      <c r="J18" s="34"/>
      <c r="K18" s="29"/>
      <c r="L18" s="39">
        <v>9.5</v>
      </c>
      <c r="M18" s="39">
        <v>5</v>
      </c>
      <c r="N18" s="29">
        <v>9.5</v>
      </c>
      <c r="O18" s="29">
        <v>9.5</v>
      </c>
      <c r="P18" s="29"/>
      <c r="Q18" s="35"/>
      <c r="R18" s="36"/>
      <c r="S18" s="37"/>
      <c r="T18" s="3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ht="15.75" customHeight="1">
      <c r="A19" s="41" t="s">
        <v>31</v>
      </c>
      <c r="B19" s="24" t="str">
        <f t="shared" si="5"/>
        <v>Crystal</v>
      </c>
      <c r="C19" s="15" t="str">
        <f t="shared" si="5"/>
        <v>WW02</v>
      </c>
      <c r="D19" s="18">
        <f>VLOOKUP( A19,'[1]Payroll Admin 1'!$G$3:$H$96,2,FALSE)</f>
        <v>20</v>
      </c>
      <c r="E19" s="19">
        <f t="shared" si="1"/>
        <v>190</v>
      </c>
      <c r="F19" s="20" t="str">
        <f t="shared" si="2"/>
        <v>WW02 9.5 Hrs</v>
      </c>
      <c r="G19" s="21">
        <f t="shared" si="3"/>
        <v>9.5</v>
      </c>
      <c r="H19" s="22">
        <f t="shared" si="4"/>
        <v>0</v>
      </c>
      <c r="I19" s="21"/>
      <c r="J19" s="15"/>
      <c r="K19" s="15"/>
      <c r="L19" s="15"/>
      <c r="M19" s="15"/>
      <c r="N19" s="15"/>
      <c r="O19" s="15">
        <v>9.5</v>
      </c>
      <c r="P19" s="15"/>
      <c r="Q19" s="45"/>
      <c r="R19" s="27"/>
      <c r="S19" s="27"/>
      <c r="T19" s="27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15.75" customHeight="1">
      <c r="A20" s="42" t="s">
        <v>32</v>
      </c>
      <c r="B20" s="29" t="str">
        <f t="shared" ref="B20:C27" si="6">B19</f>
        <v>Crystal</v>
      </c>
      <c r="C20" s="28" t="str">
        <f t="shared" si="6"/>
        <v>WW02</v>
      </c>
      <c r="D20" s="30">
        <f>VLOOKUP( A20,'[1]Payroll Admin 1'!$G$3:$H$96,2,FALSE)</f>
        <v>23</v>
      </c>
      <c r="E20" s="31">
        <f t="shared" si="1"/>
        <v>218.5</v>
      </c>
      <c r="F20" s="43" t="str">
        <f t="shared" si="2"/>
        <v>WW02 9.5 Hrs</v>
      </c>
      <c r="G20" s="32">
        <f t="shared" si="3"/>
        <v>9.5</v>
      </c>
      <c r="H20" s="33">
        <f t="shared" si="4"/>
        <v>0</v>
      </c>
      <c r="I20" s="34"/>
      <c r="J20" s="34"/>
      <c r="K20" s="29"/>
      <c r="L20" s="39"/>
      <c r="M20" s="39"/>
      <c r="N20" s="29"/>
      <c r="O20" s="29">
        <v>9.5</v>
      </c>
      <c r="Q20" s="35"/>
      <c r="R20" s="36"/>
      <c r="S20" s="37"/>
      <c r="T20" s="37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ht="15.75" customHeight="1">
      <c r="A21" s="42" t="s">
        <v>33</v>
      </c>
      <c r="B21" s="24" t="str">
        <f t="shared" si="6"/>
        <v>Crystal</v>
      </c>
      <c r="C21" s="15" t="str">
        <f t="shared" si="6"/>
        <v>WW02</v>
      </c>
      <c r="D21" s="18">
        <f>VLOOKUP( A21,'[1]Payroll Admin 1'!$G$3:$H$96,2,FALSE)</f>
        <v>20</v>
      </c>
      <c r="E21" s="19">
        <f t="shared" si="1"/>
        <v>190</v>
      </c>
      <c r="F21" s="44" t="str">
        <f t="shared" si="2"/>
        <v>WW02 9.5 Hrs</v>
      </c>
      <c r="G21" s="21">
        <f t="shared" si="3"/>
        <v>9.5</v>
      </c>
      <c r="H21" s="22">
        <f t="shared" si="4"/>
        <v>0</v>
      </c>
      <c r="I21" s="21"/>
      <c r="J21" s="15"/>
      <c r="K21" s="15"/>
      <c r="L21" s="15"/>
      <c r="M21" s="15"/>
      <c r="N21" s="15"/>
      <c r="O21" s="15">
        <v>9.5</v>
      </c>
      <c r="P21" s="15"/>
      <c r="Q21" s="45"/>
      <c r="R21" s="27"/>
      <c r="S21" s="27"/>
      <c r="T21" s="27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ht="15.75" customHeight="1">
      <c r="A22" s="46" t="s">
        <v>34</v>
      </c>
      <c r="B22" s="29" t="str">
        <f t="shared" si="6"/>
        <v>Crystal</v>
      </c>
      <c r="C22" s="28" t="str">
        <f t="shared" si="6"/>
        <v>WW02</v>
      </c>
      <c r="D22" s="30">
        <f>VLOOKUP( A22,'[1]Payroll Admin 1'!$G$3:$H$96,2,FALSE)</f>
        <v>18.5</v>
      </c>
      <c r="E22" s="31">
        <f t="shared" si="1"/>
        <v>55.5</v>
      </c>
      <c r="F22" s="43" t="str">
        <f t="shared" si="2"/>
        <v>WW02 3 Hrs</v>
      </c>
      <c r="G22" s="32">
        <f t="shared" si="3"/>
        <v>3</v>
      </c>
      <c r="H22" s="33">
        <f t="shared" si="4"/>
        <v>0</v>
      </c>
      <c r="I22" s="34"/>
      <c r="J22" s="34"/>
      <c r="K22" s="29"/>
      <c r="L22" s="39">
        <v>3</v>
      </c>
      <c r="M22" s="39"/>
      <c r="N22" s="29"/>
      <c r="O22" s="29"/>
      <c r="P22" s="29"/>
      <c r="Q22" s="35"/>
      <c r="R22" s="36"/>
      <c r="S22" s="37"/>
      <c r="T22" s="37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ht="15.75" customHeight="1">
      <c r="A23" s="41" t="s">
        <v>35</v>
      </c>
      <c r="B23" s="24" t="str">
        <f t="shared" si="6"/>
        <v>Crystal</v>
      </c>
      <c r="C23" s="15" t="str">
        <f t="shared" si="6"/>
        <v>WW02</v>
      </c>
      <c r="D23" s="18">
        <f>VLOOKUP( A23,'[1]Payroll Admin 1'!$G$3:$H$96,2,FALSE)</f>
        <v>21</v>
      </c>
      <c r="E23" s="19">
        <f t="shared" si="1"/>
        <v>199.5</v>
      </c>
      <c r="F23" s="20" t="str">
        <f t="shared" si="2"/>
        <v>WW02 9.5 Hrs</v>
      </c>
      <c r="G23" s="21">
        <f t="shared" si="3"/>
        <v>9.5</v>
      </c>
      <c r="H23" s="22">
        <f t="shared" si="4"/>
        <v>0</v>
      </c>
      <c r="I23" s="23"/>
      <c r="J23" s="23"/>
      <c r="L23" s="38"/>
      <c r="M23" s="38"/>
      <c r="N23" s="24"/>
      <c r="O23" s="24">
        <v>9.5</v>
      </c>
      <c r="P23" s="24"/>
      <c r="Q23" s="25"/>
      <c r="R23" s="26"/>
      <c r="S23" s="27"/>
      <c r="T23" s="27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ht="15.75" customHeight="1">
      <c r="A24" s="46" t="s">
        <v>36</v>
      </c>
      <c r="B24" s="29" t="str">
        <f t="shared" si="6"/>
        <v>Crystal</v>
      </c>
      <c r="C24" s="28" t="str">
        <f t="shared" si="6"/>
        <v>WW02</v>
      </c>
      <c r="D24" s="30">
        <f>VLOOKUP( A24,'[1]Payroll Admin 1'!$G$3:$H$96,2,FALSE)</f>
        <v>24</v>
      </c>
      <c r="E24" s="31">
        <f t="shared" si="1"/>
        <v>228</v>
      </c>
      <c r="F24" s="20" t="str">
        <f t="shared" si="2"/>
        <v>WW02 9.5 Hrs</v>
      </c>
      <c r="G24" s="32">
        <f t="shared" si="3"/>
        <v>9.5</v>
      </c>
      <c r="H24" s="33">
        <f t="shared" si="4"/>
        <v>0</v>
      </c>
      <c r="I24" s="34"/>
      <c r="J24" s="34"/>
      <c r="L24" s="39"/>
      <c r="M24" s="39"/>
      <c r="N24" s="29"/>
      <c r="O24" s="29">
        <v>9.5</v>
      </c>
      <c r="P24" s="29"/>
      <c r="Q24" s="35"/>
      <c r="R24" s="36"/>
      <c r="S24" s="37"/>
      <c r="T24" s="37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ht="15.75" customHeight="1">
      <c r="A25" s="42" t="s">
        <v>37</v>
      </c>
      <c r="B25" s="24" t="str">
        <f t="shared" si="6"/>
        <v>Crystal</v>
      </c>
      <c r="C25" s="15" t="str">
        <f t="shared" si="6"/>
        <v>WW02</v>
      </c>
      <c r="D25" s="18">
        <f>VLOOKUP( A25,'[1]Payroll Admin 1'!$G$3:$H$96,2,FALSE)</f>
        <v>20</v>
      </c>
      <c r="E25" s="19">
        <f t="shared" si="1"/>
        <v>620</v>
      </c>
      <c r="F25" s="44" t="str">
        <f t="shared" si="2"/>
        <v>WW02 31 Hrs</v>
      </c>
      <c r="G25" s="21">
        <f t="shared" si="3"/>
        <v>31</v>
      </c>
      <c r="H25" s="22">
        <f t="shared" si="4"/>
        <v>0</v>
      </c>
      <c r="I25" s="21"/>
      <c r="J25" s="15"/>
      <c r="K25" s="15"/>
      <c r="L25" s="15">
        <v>3</v>
      </c>
      <c r="M25" s="15">
        <v>9</v>
      </c>
      <c r="N25" s="15">
        <v>9.5</v>
      </c>
      <c r="O25" s="15">
        <v>9.5</v>
      </c>
      <c r="P25" s="15"/>
      <c r="Q25" s="45"/>
      <c r="R25" s="27"/>
      <c r="S25" s="27"/>
      <c r="T25" s="27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ht="15.75" customHeight="1">
      <c r="A26" s="42" t="s">
        <v>38</v>
      </c>
      <c r="B26" s="29" t="str">
        <f t="shared" si="6"/>
        <v>Crystal</v>
      </c>
      <c r="C26" s="28" t="str">
        <f t="shared" si="6"/>
        <v>WW02</v>
      </c>
      <c r="D26" s="30">
        <f>VLOOKUP( A26,'[1]Payroll Admin 1'!$G$3:$H$96,2,FALSE)</f>
        <v>18</v>
      </c>
      <c r="E26" s="31">
        <f t="shared" si="1"/>
        <v>162</v>
      </c>
      <c r="F26" s="20" t="str">
        <f t="shared" si="2"/>
        <v>WW02 9 Hrs</v>
      </c>
      <c r="G26" s="32">
        <f t="shared" si="3"/>
        <v>9</v>
      </c>
      <c r="H26" s="33">
        <f t="shared" si="4"/>
        <v>0</v>
      </c>
      <c r="I26" s="32"/>
      <c r="J26" s="28"/>
      <c r="K26" s="28"/>
      <c r="L26" s="28"/>
      <c r="M26" s="28"/>
      <c r="N26" s="28"/>
      <c r="O26" s="28">
        <v>9</v>
      </c>
      <c r="P26" s="28"/>
      <c r="Q26" s="47"/>
      <c r="R26" s="37"/>
      <c r="S26" s="37"/>
      <c r="T26" s="37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ht="15.75" customHeight="1">
      <c r="A27" s="42" t="s">
        <v>39</v>
      </c>
      <c r="B27" s="24" t="str">
        <f t="shared" si="6"/>
        <v>Crystal</v>
      </c>
      <c r="C27" s="15" t="str">
        <f t="shared" si="6"/>
        <v>WW02</v>
      </c>
      <c r="D27" s="18">
        <f>VLOOKUP( A27,'[1]Payroll Admin 1'!$G$3:$H$96,2,FALSE)</f>
        <v>20</v>
      </c>
      <c r="E27" s="19">
        <f t="shared" si="1"/>
        <v>0</v>
      </c>
      <c r="F27" s="20" t="str">
        <f t="shared" si="2"/>
        <v>WW02 0 Hrs</v>
      </c>
      <c r="G27" s="21">
        <f t="shared" si="3"/>
        <v>0</v>
      </c>
      <c r="H27" s="22">
        <f t="shared" si="4"/>
        <v>0</v>
      </c>
      <c r="I27" s="21"/>
      <c r="J27" s="15"/>
      <c r="K27" s="15"/>
      <c r="L27" s="15"/>
      <c r="M27" s="15"/>
      <c r="N27" s="15"/>
      <c r="O27" s="15"/>
      <c r="P27" s="15"/>
      <c r="Q27" s="45"/>
      <c r="R27" s="27"/>
      <c r="S27" s="27"/>
      <c r="T27" s="27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ht="15.75" customHeight="1">
      <c r="A28" s="28" t="s">
        <v>40</v>
      </c>
      <c r="B28" s="29" t="str">
        <f t="shared" ref="B28:C28" si="7">B26</f>
        <v>Crystal</v>
      </c>
      <c r="C28" s="28" t="str">
        <f t="shared" si="7"/>
        <v>WW02</v>
      </c>
      <c r="D28" s="30">
        <f>VLOOKUP( A28,'[1]Payroll Admin 1'!$G$3:$H$96,2,FALSE)</f>
        <v>35</v>
      </c>
      <c r="E28" s="31">
        <f t="shared" si="1"/>
        <v>1330</v>
      </c>
      <c r="F28" s="20" t="str">
        <f t="shared" si="2"/>
        <v>WW02 38 Hrs</v>
      </c>
      <c r="G28" s="32">
        <f t="shared" si="3"/>
        <v>38</v>
      </c>
      <c r="H28" s="33">
        <f t="shared" si="4"/>
        <v>0</v>
      </c>
      <c r="I28" s="34"/>
      <c r="J28" s="34"/>
      <c r="L28" s="39">
        <v>9.5</v>
      </c>
      <c r="M28" s="39">
        <v>9.5</v>
      </c>
      <c r="N28" s="29">
        <v>9.5</v>
      </c>
      <c r="O28" s="29">
        <v>9.5</v>
      </c>
      <c r="P28" s="29"/>
      <c r="Q28" s="35"/>
      <c r="R28" s="36"/>
      <c r="S28" s="37"/>
      <c r="T28" s="37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ht="15.75" customHeight="1">
      <c r="A29" s="42" t="s">
        <v>41</v>
      </c>
      <c r="B29" s="24" t="str">
        <f t="shared" ref="B29:C44" si="8">B28</f>
        <v>Crystal</v>
      </c>
      <c r="C29" s="15" t="str">
        <f t="shared" si="8"/>
        <v>WW02</v>
      </c>
      <c r="D29" s="18">
        <f>VLOOKUP( A29,'[1]Payroll Admin 1'!$G$3:$H$96,2,FALSE)</f>
        <v>16</v>
      </c>
      <c r="E29" s="19">
        <f t="shared" si="1"/>
        <v>0</v>
      </c>
      <c r="F29" s="44" t="str">
        <f t="shared" si="2"/>
        <v>WW02 0 Hrs</v>
      </c>
      <c r="G29" s="21">
        <f t="shared" si="3"/>
        <v>0</v>
      </c>
      <c r="H29" s="22">
        <f t="shared" si="4"/>
        <v>0</v>
      </c>
      <c r="I29" s="21"/>
      <c r="J29" s="15"/>
      <c r="K29" s="15"/>
      <c r="L29" s="15"/>
      <c r="M29" s="15"/>
      <c r="N29" s="15"/>
      <c r="O29" s="15"/>
      <c r="P29" s="15"/>
      <c r="Q29" s="45"/>
      <c r="R29" s="27"/>
      <c r="S29" s="27"/>
      <c r="T29" s="27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ht="15.75" customHeight="1">
      <c r="A30" s="46" t="s">
        <v>42</v>
      </c>
      <c r="B30" s="29" t="str">
        <f t="shared" si="8"/>
        <v>Crystal</v>
      </c>
      <c r="C30" s="28" t="str">
        <f t="shared" si="8"/>
        <v>WW02</v>
      </c>
      <c r="D30" s="30">
        <f>VLOOKUP( A30,'[1]Payroll Admin 1'!$G$3:$H$96,2,FALSE)</f>
        <v>25</v>
      </c>
      <c r="E30" s="31">
        <f t="shared" si="1"/>
        <v>950</v>
      </c>
      <c r="F30" s="43" t="str">
        <f t="shared" si="2"/>
        <v>WW02 38 Hrs</v>
      </c>
      <c r="G30" s="32">
        <f t="shared" si="3"/>
        <v>38</v>
      </c>
      <c r="H30" s="33">
        <f t="shared" si="4"/>
        <v>0</v>
      </c>
      <c r="I30" s="34"/>
      <c r="J30" s="34"/>
      <c r="K30" s="29"/>
      <c r="L30" s="39">
        <v>9.5</v>
      </c>
      <c r="M30" s="39">
        <v>9.5</v>
      </c>
      <c r="N30" s="29">
        <v>9.5</v>
      </c>
      <c r="O30" s="29">
        <v>9.5</v>
      </c>
      <c r="P30" s="29"/>
      <c r="Q30" s="35"/>
      <c r="R30" s="36"/>
      <c r="S30" s="37"/>
      <c r="T30" s="37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ht="15.75" customHeight="1">
      <c r="A31" s="41" t="s">
        <v>43</v>
      </c>
      <c r="B31" s="24" t="str">
        <f t="shared" si="8"/>
        <v>Crystal</v>
      </c>
      <c r="C31" s="15" t="str">
        <f t="shared" si="8"/>
        <v>WW02</v>
      </c>
      <c r="D31" s="18">
        <f>VLOOKUP( A31,'[1]Payroll Admin 1'!$G$3:$H$96,2,FALSE)</f>
        <v>25</v>
      </c>
      <c r="E31" s="19">
        <f t="shared" si="1"/>
        <v>950</v>
      </c>
      <c r="F31" s="44" t="str">
        <f t="shared" si="2"/>
        <v>WW02 38 Hrs</v>
      </c>
      <c r="G31" s="21">
        <f t="shared" si="3"/>
        <v>38</v>
      </c>
      <c r="H31" s="22">
        <f t="shared" si="4"/>
        <v>0</v>
      </c>
      <c r="I31" s="23"/>
      <c r="J31" s="23"/>
      <c r="K31" s="24"/>
      <c r="L31" s="38">
        <v>9.5</v>
      </c>
      <c r="M31" s="38">
        <v>9.5</v>
      </c>
      <c r="N31" s="24">
        <v>9.5</v>
      </c>
      <c r="O31" s="24">
        <v>9.5</v>
      </c>
      <c r="P31" s="24"/>
      <c r="Q31" s="25"/>
      <c r="R31" s="26"/>
      <c r="S31" s="27"/>
      <c r="T31" s="27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ht="15.75" customHeight="1">
      <c r="A32" s="46"/>
      <c r="B32" s="29" t="str">
        <f t="shared" si="8"/>
        <v>Crystal</v>
      </c>
      <c r="C32" s="28" t="str">
        <f t="shared" si="8"/>
        <v>WW02</v>
      </c>
      <c r="D32" s="30" t="e">
        <f>VLOOKUP( A32,'[1]Payroll Admin 1'!$G$3:$H$96,2,FALSE)</f>
        <v>#N/A</v>
      </c>
      <c r="E32" s="31" t="e">
        <f t="shared" si="1"/>
        <v>#N/A</v>
      </c>
      <c r="F32" s="20" t="str">
        <f t="shared" si="2"/>
        <v>WW02 0 Hrs</v>
      </c>
      <c r="G32" s="32">
        <f t="shared" si="3"/>
        <v>0</v>
      </c>
      <c r="H32" s="33">
        <f t="shared" si="4"/>
        <v>0</v>
      </c>
      <c r="I32" s="32"/>
      <c r="J32" s="28"/>
      <c r="K32" s="28"/>
      <c r="L32" s="28" t="s">
        <v>44</v>
      </c>
      <c r="N32" s="28"/>
      <c r="O32" s="28"/>
      <c r="P32" s="28"/>
      <c r="Q32" s="47"/>
      <c r="R32" s="37"/>
      <c r="S32" s="37"/>
      <c r="T32" s="37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ht="15.75" customHeight="1">
      <c r="A33" s="41"/>
      <c r="B33" s="24" t="str">
        <f t="shared" si="8"/>
        <v>Crystal</v>
      </c>
      <c r="C33" s="15" t="str">
        <f t="shared" si="8"/>
        <v>WW02</v>
      </c>
      <c r="D33" s="18" t="e">
        <f>VLOOKUP( A33,'[1]Payroll Admin 1'!$G$3:$H$96,2,FALSE)</f>
        <v>#N/A</v>
      </c>
      <c r="E33" s="19" t="e">
        <f t="shared" si="1"/>
        <v>#N/A</v>
      </c>
      <c r="F33" s="20" t="str">
        <f t="shared" si="2"/>
        <v>WW02 0 Hrs</v>
      </c>
      <c r="G33" s="21">
        <f t="shared" si="3"/>
        <v>0</v>
      </c>
      <c r="H33" s="22">
        <f t="shared" si="4"/>
        <v>0</v>
      </c>
      <c r="I33" s="21"/>
      <c r="J33" s="15"/>
      <c r="K33" s="15"/>
      <c r="L33" s="15"/>
      <c r="M33" s="15"/>
      <c r="N33" s="15"/>
      <c r="O33" s="15"/>
      <c r="P33" s="15"/>
      <c r="Q33" s="45"/>
      <c r="R33" s="27"/>
      <c r="S33" s="27"/>
      <c r="T33" s="27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ht="15.75" customHeight="1">
      <c r="A34" s="46"/>
      <c r="B34" s="29" t="str">
        <f t="shared" si="8"/>
        <v>Crystal</v>
      </c>
      <c r="C34" s="28" t="str">
        <f t="shared" si="8"/>
        <v>WW02</v>
      </c>
      <c r="D34" s="30" t="e">
        <f>VLOOKUP( A34,'[1]Payroll Admin 1'!$G$3:$H$96,2,FALSE)</f>
        <v>#N/A</v>
      </c>
      <c r="E34" s="31" t="e">
        <f t="shared" si="1"/>
        <v>#N/A</v>
      </c>
      <c r="F34" s="20" t="str">
        <f t="shared" si="2"/>
        <v>WW02 0 Hrs</v>
      </c>
      <c r="G34" s="32">
        <f t="shared" si="3"/>
        <v>0</v>
      </c>
      <c r="H34" s="33">
        <f t="shared" si="4"/>
        <v>0</v>
      </c>
      <c r="I34" s="32"/>
      <c r="J34" s="28"/>
      <c r="K34" s="28"/>
      <c r="L34" s="28"/>
      <c r="M34" s="28"/>
      <c r="N34" s="28"/>
      <c r="O34" s="28"/>
      <c r="P34" s="28"/>
      <c r="Q34" s="47"/>
      <c r="R34" s="37"/>
      <c r="S34" s="37"/>
      <c r="T34" s="37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ht="15.75" customHeight="1">
      <c r="A35" s="41"/>
      <c r="B35" s="24" t="str">
        <f t="shared" si="8"/>
        <v>Crystal</v>
      </c>
      <c r="C35" s="15" t="str">
        <f t="shared" si="8"/>
        <v>WW02</v>
      </c>
      <c r="D35" s="18" t="e">
        <f>VLOOKUP( A35,'[1]Payroll Admin 1'!$G$3:$H$96,2,FALSE)</f>
        <v>#N/A</v>
      </c>
      <c r="E35" s="19" t="e">
        <f t="shared" si="1"/>
        <v>#N/A</v>
      </c>
      <c r="F35" s="20" t="str">
        <f t="shared" si="2"/>
        <v>WW02 0 Hrs</v>
      </c>
      <c r="G35" s="21">
        <f t="shared" si="3"/>
        <v>0</v>
      </c>
      <c r="H35" s="22">
        <f t="shared" si="4"/>
        <v>0</v>
      </c>
      <c r="I35" s="21"/>
      <c r="J35" s="15"/>
      <c r="K35" s="15"/>
      <c r="L35" s="15"/>
      <c r="M35" s="15"/>
      <c r="N35" s="15"/>
      <c r="O35" s="15"/>
      <c r="P35" s="15"/>
      <c r="Q35" s="45"/>
      <c r="R35" s="27"/>
      <c r="S35" s="27"/>
      <c r="T35" s="27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5.75" customHeight="1">
      <c r="A36" s="46"/>
      <c r="B36" s="29" t="str">
        <f t="shared" si="8"/>
        <v>Crystal</v>
      </c>
      <c r="C36" s="28" t="str">
        <f t="shared" si="8"/>
        <v>WW02</v>
      </c>
      <c r="D36" s="30" t="e">
        <f>VLOOKUP( A36,'[1]Payroll Admin 1'!$G$3:$H$96,2,FALSE)</f>
        <v>#N/A</v>
      </c>
      <c r="E36" s="31" t="e">
        <f t="shared" si="1"/>
        <v>#N/A</v>
      </c>
      <c r="F36" s="20" t="str">
        <f t="shared" si="2"/>
        <v>WW02 0 Hrs</v>
      </c>
      <c r="G36" s="32">
        <f t="shared" si="3"/>
        <v>0</v>
      </c>
      <c r="H36" s="33">
        <f t="shared" si="4"/>
        <v>0</v>
      </c>
      <c r="I36" s="32"/>
      <c r="J36" s="28"/>
      <c r="K36" s="28"/>
      <c r="L36" s="28"/>
      <c r="M36" s="28"/>
      <c r="N36" s="28"/>
      <c r="O36" s="28"/>
      <c r="P36" s="28"/>
      <c r="Q36" s="47"/>
      <c r="R36" s="37"/>
      <c r="S36" s="37"/>
      <c r="T36" s="37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ht="15.75" customHeight="1">
      <c r="A37" s="41"/>
      <c r="B37" s="24" t="str">
        <f t="shared" si="8"/>
        <v>Crystal</v>
      </c>
      <c r="C37" s="15" t="str">
        <f t="shared" si="8"/>
        <v>WW02</v>
      </c>
      <c r="D37" s="18" t="e">
        <f>VLOOKUP( A37,'[1]Payroll Admin 1'!$G$3:$H$96,2,FALSE)</f>
        <v>#N/A</v>
      </c>
      <c r="E37" s="19" t="e">
        <f t="shared" si="1"/>
        <v>#N/A</v>
      </c>
      <c r="F37" s="20" t="str">
        <f t="shared" si="2"/>
        <v>WW02 0 Hrs</v>
      </c>
      <c r="G37" s="21">
        <f t="shared" si="3"/>
        <v>0</v>
      </c>
      <c r="H37" s="22">
        <f t="shared" si="4"/>
        <v>0</v>
      </c>
      <c r="I37" s="21"/>
      <c r="J37" s="15"/>
      <c r="K37" s="15"/>
      <c r="L37" s="15"/>
      <c r="M37" s="15"/>
      <c r="N37" s="15"/>
      <c r="O37" s="15"/>
      <c r="P37" s="15"/>
      <c r="Q37" s="45"/>
      <c r="R37" s="27"/>
      <c r="S37" s="27"/>
      <c r="T37" s="27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ht="15.75" customHeight="1">
      <c r="A38" s="46"/>
      <c r="B38" s="29" t="str">
        <f t="shared" si="8"/>
        <v>Crystal</v>
      </c>
      <c r="C38" s="28" t="str">
        <f t="shared" si="8"/>
        <v>WW02</v>
      </c>
      <c r="D38" s="30" t="e">
        <f>VLOOKUP( A38,'[1]Payroll Admin 1'!$G$3:$H$96,2,FALSE)</f>
        <v>#N/A</v>
      </c>
      <c r="E38" s="31" t="e">
        <f t="shared" si="1"/>
        <v>#N/A</v>
      </c>
      <c r="F38" s="20" t="str">
        <f t="shared" si="2"/>
        <v>WW02 0 Hrs</v>
      </c>
      <c r="G38" s="32">
        <f t="shared" si="3"/>
        <v>0</v>
      </c>
      <c r="H38" s="33">
        <f t="shared" si="4"/>
        <v>0</v>
      </c>
      <c r="I38" s="32"/>
      <c r="J38" s="28"/>
      <c r="K38" s="28"/>
      <c r="L38" s="28"/>
      <c r="M38" s="28"/>
      <c r="N38" s="28"/>
      <c r="O38" s="28"/>
      <c r="P38" s="28"/>
      <c r="Q38" s="47"/>
      <c r="R38" s="37"/>
      <c r="S38" s="37"/>
      <c r="T38" s="37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ht="15.75" customHeight="1">
      <c r="A39" s="41"/>
      <c r="B39" s="24" t="str">
        <f t="shared" si="8"/>
        <v>Crystal</v>
      </c>
      <c r="C39" s="15" t="str">
        <f t="shared" si="8"/>
        <v>WW02</v>
      </c>
      <c r="D39" s="18" t="e">
        <f>VLOOKUP( A39,'[1]Payroll Admin 1'!$G$3:$H$96,2,FALSE)</f>
        <v>#N/A</v>
      </c>
      <c r="E39" s="19" t="e">
        <f t="shared" si="1"/>
        <v>#N/A</v>
      </c>
      <c r="F39" s="20" t="str">
        <f t="shared" si="2"/>
        <v>WW02 0 Hrs</v>
      </c>
      <c r="G39" s="21">
        <f t="shared" si="3"/>
        <v>0</v>
      </c>
      <c r="H39" s="22">
        <f t="shared" si="4"/>
        <v>0</v>
      </c>
      <c r="I39" s="21"/>
      <c r="J39" s="15"/>
      <c r="K39" s="15"/>
      <c r="L39" s="15"/>
      <c r="M39" s="15"/>
      <c r="N39" s="15"/>
      <c r="O39" s="15"/>
      <c r="P39" s="15"/>
      <c r="Q39" s="45"/>
      <c r="R39" s="27"/>
      <c r="S39" s="27"/>
      <c r="T39" s="27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ht="15.75" customHeight="1">
      <c r="A40" s="48"/>
      <c r="B40" s="29" t="str">
        <f t="shared" si="8"/>
        <v>Crystal</v>
      </c>
      <c r="C40" s="28" t="str">
        <f t="shared" si="8"/>
        <v>WW02</v>
      </c>
      <c r="D40" s="30" t="e">
        <f>VLOOKUP( A40,'[1]Payroll Admin 1'!$G$3:$H$96,2,FALSE)</f>
        <v>#N/A</v>
      </c>
      <c r="E40" s="31" t="e">
        <f t="shared" si="1"/>
        <v>#N/A</v>
      </c>
      <c r="F40" s="20" t="str">
        <f t="shared" si="2"/>
        <v>WW02 0 Hrs</v>
      </c>
      <c r="G40" s="49">
        <f t="shared" si="3"/>
        <v>0</v>
      </c>
      <c r="H40" s="33">
        <f t="shared" si="4"/>
        <v>0</v>
      </c>
      <c r="I40" s="49"/>
      <c r="J40" s="50"/>
      <c r="K40" s="50"/>
      <c r="L40" s="50"/>
      <c r="M40" s="50"/>
      <c r="N40" s="50"/>
      <c r="O40" s="50"/>
      <c r="P40" s="51"/>
      <c r="Q40" s="52"/>
      <c r="R40" s="53"/>
      <c r="S40" s="53"/>
      <c r="T40" s="53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</row>
    <row r="41" spans="1:35" ht="15.75" customHeight="1">
      <c r="A41" s="54"/>
      <c r="B41" s="24" t="str">
        <f t="shared" si="8"/>
        <v>Crystal</v>
      </c>
      <c r="C41" s="15" t="str">
        <f t="shared" si="8"/>
        <v>WW02</v>
      </c>
      <c r="D41" s="18" t="e">
        <f>VLOOKUP( A41,'[1]Payroll Admin 1'!G48:H134,2,FALSE)</f>
        <v>#N/A</v>
      </c>
      <c r="E41" s="19" t="e">
        <f t="shared" si="1"/>
        <v>#N/A</v>
      </c>
      <c r="F41" s="20" t="str">
        <f t="shared" si="2"/>
        <v>WW02 0 Hrs</v>
      </c>
      <c r="G41" s="55">
        <f t="shared" si="3"/>
        <v>0</v>
      </c>
      <c r="H41" s="22">
        <f t="shared" si="4"/>
        <v>0</v>
      </c>
      <c r="I41" s="55"/>
      <c r="J41" s="56"/>
      <c r="K41" s="56"/>
      <c r="L41" s="56"/>
      <c r="M41" s="56"/>
      <c r="N41" s="56"/>
      <c r="O41" s="56"/>
      <c r="P41" s="57"/>
      <c r="Q41" s="58"/>
      <c r="R41" s="59"/>
      <c r="S41" s="59"/>
      <c r="T41" s="59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</row>
    <row r="42" spans="1:35" ht="15.75" customHeight="1">
      <c r="A42" s="46"/>
      <c r="B42" s="29" t="str">
        <f t="shared" si="8"/>
        <v>Crystal</v>
      </c>
      <c r="C42" s="28" t="str">
        <f t="shared" si="8"/>
        <v>WW02</v>
      </c>
      <c r="D42" s="30" t="e">
        <f>VLOOKUP( A42,'[1]Payroll Admin 1'!G49:H135,2,FALSE)</f>
        <v>#N/A</v>
      </c>
      <c r="E42" s="31" t="e">
        <f t="shared" si="1"/>
        <v>#N/A</v>
      </c>
      <c r="F42" s="20" t="str">
        <f t="shared" si="2"/>
        <v>WW02 0 Hrs</v>
      </c>
      <c r="G42" s="32">
        <f t="shared" si="3"/>
        <v>0</v>
      </c>
      <c r="H42" s="33">
        <f t="shared" si="4"/>
        <v>0</v>
      </c>
      <c r="I42" s="32"/>
      <c r="J42" s="28"/>
      <c r="K42" s="28"/>
      <c r="L42" s="28"/>
      <c r="M42" s="28"/>
      <c r="N42" s="28"/>
      <c r="O42" s="28"/>
      <c r="P42" s="28"/>
      <c r="Q42" s="47"/>
      <c r="R42" s="37"/>
      <c r="S42" s="37"/>
      <c r="T42" s="37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ht="15.75" customHeight="1">
      <c r="A43" s="54"/>
      <c r="B43" s="24" t="str">
        <f t="shared" si="8"/>
        <v>Crystal</v>
      </c>
      <c r="C43" s="15" t="str">
        <f t="shared" si="8"/>
        <v>WW02</v>
      </c>
      <c r="D43" s="18" t="e">
        <f>VLOOKUP( A43,'[1]Payroll Admin 1'!G50:H136,2,FALSE)</f>
        <v>#N/A</v>
      </c>
      <c r="E43" s="19" t="e">
        <f t="shared" si="1"/>
        <v>#N/A</v>
      </c>
      <c r="F43" s="20" t="str">
        <f t="shared" si="2"/>
        <v>WW02 0 Hrs</v>
      </c>
      <c r="G43" s="55">
        <f t="shared" si="3"/>
        <v>0</v>
      </c>
      <c r="H43" s="22">
        <f t="shared" si="4"/>
        <v>0</v>
      </c>
      <c r="I43" s="55"/>
      <c r="J43" s="56"/>
      <c r="K43" s="56"/>
      <c r="L43" s="56"/>
      <c r="M43" s="56"/>
      <c r="N43" s="56"/>
      <c r="O43" s="56"/>
      <c r="P43" s="57"/>
      <c r="Q43" s="58"/>
      <c r="R43" s="59"/>
      <c r="S43" s="59"/>
      <c r="T43" s="59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 spans="1:35" ht="15.75" customHeight="1">
      <c r="A44" s="46"/>
      <c r="B44" s="29" t="str">
        <f t="shared" si="8"/>
        <v>Crystal</v>
      </c>
      <c r="C44" s="28" t="str">
        <f t="shared" si="8"/>
        <v>WW02</v>
      </c>
      <c r="D44" s="30" t="e">
        <f>VLOOKUP( A44,'[1]Payroll Admin 1'!G51:H137,2,FALSE)</f>
        <v>#N/A</v>
      </c>
      <c r="E44" s="31" t="e">
        <f t="shared" si="1"/>
        <v>#N/A</v>
      </c>
      <c r="F44" s="20" t="str">
        <f t="shared" si="2"/>
        <v>WW02 0 Hrs</v>
      </c>
      <c r="G44" s="32">
        <f t="shared" si="3"/>
        <v>0</v>
      </c>
      <c r="H44" s="33">
        <f t="shared" si="4"/>
        <v>0</v>
      </c>
      <c r="I44" s="32"/>
      <c r="J44" s="28"/>
      <c r="K44" s="28"/>
      <c r="L44" s="28"/>
      <c r="M44" s="28"/>
      <c r="N44" s="28"/>
      <c r="O44" s="28"/>
      <c r="P44" s="28"/>
      <c r="Q44" s="47"/>
      <c r="R44" s="37"/>
      <c r="S44" s="37"/>
      <c r="T44" s="37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ht="15.75" customHeight="1">
      <c r="A45" s="41"/>
      <c r="B45" s="24" t="str">
        <f t="shared" ref="B45:C51" si="9">B44</f>
        <v>Crystal</v>
      </c>
      <c r="C45" s="15" t="str">
        <f t="shared" si="9"/>
        <v>WW02</v>
      </c>
      <c r="D45" s="18" t="e">
        <f>VLOOKUP( A45,'[1]Payroll Admin 1'!G52:H138,2,FALSE)</f>
        <v>#N/A</v>
      </c>
      <c r="E45" s="19" t="e">
        <f t="shared" si="1"/>
        <v>#N/A</v>
      </c>
      <c r="F45" s="20" t="str">
        <f t="shared" si="2"/>
        <v>WW02 0 Hrs</v>
      </c>
      <c r="G45" s="21">
        <f t="shared" si="3"/>
        <v>0</v>
      </c>
      <c r="H45" s="22">
        <f t="shared" si="4"/>
        <v>0</v>
      </c>
      <c r="I45" s="21"/>
      <c r="J45" s="15"/>
      <c r="K45" s="15"/>
      <c r="L45" s="15"/>
      <c r="M45" s="15"/>
      <c r="N45" s="15"/>
      <c r="O45" s="15"/>
      <c r="P45" s="15"/>
      <c r="Q45" s="45"/>
      <c r="R45" s="27"/>
      <c r="S45" s="27"/>
      <c r="T45" s="27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ht="15.75" customHeight="1">
      <c r="A46" s="46"/>
      <c r="B46" s="29" t="str">
        <f t="shared" si="9"/>
        <v>Crystal</v>
      </c>
      <c r="C46" s="28" t="str">
        <f t="shared" si="9"/>
        <v>WW02</v>
      </c>
      <c r="D46" s="30" t="e">
        <f>VLOOKUP( A46,'[1]Payroll Admin 1'!G53:H139,2,FALSE)</f>
        <v>#N/A</v>
      </c>
      <c r="E46" s="31" t="e">
        <f t="shared" si="1"/>
        <v>#N/A</v>
      </c>
      <c r="F46" s="20" t="str">
        <f t="shared" si="2"/>
        <v>WW02 0 Hrs</v>
      </c>
      <c r="G46" s="32">
        <f t="shared" si="3"/>
        <v>0</v>
      </c>
      <c r="H46" s="33">
        <f t="shared" si="4"/>
        <v>0</v>
      </c>
      <c r="I46" s="32"/>
      <c r="J46" s="28"/>
      <c r="K46" s="28"/>
      <c r="L46" s="28"/>
      <c r="M46" s="28"/>
      <c r="N46" s="28"/>
      <c r="O46" s="28"/>
      <c r="P46" s="28"/>
      <c r="Q46" s="47"/>
      <c r="R46" s="37"/>
      <c r="S46" s="37"/>
      <c r="T46" s="37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ht="15.75" customHeight="1">
      <c r="A47" s="41"/>
      <c r="B47" s="24" t="str">
        <f t="shared" si="9"/>
        <v>Crystal</v>
      </c>
      <c r="C47" s="15" t="str">
        <f t="shared" si="9"/>
        <v>WW02</v>
      </c>
      <c r="D47" s="18" t="e">
        <f>VLOOKUP( A47,'[1]Payroll Admin 1'!G54:H140,2,FALSE)</f>
        <v>#N/A</v>
      </c>
      <c r="E47" s="19" t="e">
        <f t="shared" si="1"/>
        <v>#N/A</v>
      </c>
      <c r="F47" s="20" t="str">
        <f t="shared" si="2"/>
        <v>WW02 0 Hrs</v>
      </c>
      <c r="G47" s="21">
        <f t="shared" si="3"/>
        <v>0</v>
      </c>
      <c r="H47" s="22">
        <f t="shared" si="4"/>
        <v>0</v>
      </c>
      <c r="I47" s="21"/>
      <c r="J47" s="15"/>
      <c r="K47" s="15"/>
      <c r="L47" s="15"/>
      <c r="M47" s="15"/>
      <c r="N47" s="15"/>
      <c r="O47" s="15"/>
      <c r="P47" s="15"/>
      <c r="Q47" s="45"/>
      <c r="R47" s="27"/>
      <c r="S47" s="27"/>
      <c r="T47" s="27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ht="15.75" customHeight="1">
      <c r="A48" s="46"/>
      <c r="B48" s="29" t="str">
        <f t="shared" si="9"/>
        <v>Crystal</v>
      </c>
      <c r="C48" s="28" t="str">
        <f t="shared" si="9"/>
        <v>WW02</v>
      </c>
      <c r="D48" s="30" t="e">
        <f>VLOOKUP( A48,'[1]Payroll Admin 1'!G55:H141,2,FALSE)</f>
        <v>#N/A</v>
      </c>
      <c r="E48" s="31" t="e">
        <f t="shared" si="1"/>
        <v>#N/A</v>
      </c>
      <c r="F48" s="20" t="str">
        <f t="shared" si="2"/>
        <v>WW02 0 Hrs</v>
      </c>
      <c r="G48" s="32">
        <f t="shared" si="3"/>
        <v>0</v>
      </c>
      <c r="H48" s="33">
        <f t="shared" si="4"/>
        <v>0</v>
      </c>
      <c r="I48" s="32"/>
      <c r="J48" s="28"/>
      <c r="K48" s="28"/>
      <c r="L48" s="28"/>
      <c r="M48" s="28"/>
      <c r="N48" s="28"/>
      <c r="O48" s="28"/>
      <c r="P48" s="28"/>
      <c r="Q48" s="47"/>
      <c r="R48" s="37"/>
      <c r="S48" s="37"/>
      <c r="T48" s="37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ht="15.75" customHeight="1">
      <c r="A49" s="41"/>
      <c r="B49" s="24" t="str">
        <f t="shared" si="9"/>
        <v>Crystal</v>
      </c>
      <c r="C49" s="15" t="str">
        <f t="shared" si="9"/>
        <v>WW02</v>
      </c>
      <c r="D49" s="18" t="e">
        <f>VLOOKUP( A49,'[1]Payroll Admin 1'!G56:H142,2,FALSE)</f>
        <v>#N/A</v>
      </c>
      <c r="E49" s="19" t="e">
        <f t="shared" si="1"/>
        <v>#N/A</v>
      </c>
      <c r="F49" s="20" t="str">
        <f t="shared" si="2"/>
        <v>WW02 0 Hrs</v>
      </c>
      <c r="G49" s="21">
        <f t="shared" si="3"/>
        <v>0</v>
      </c>
      <c r="H49" s="22">
        <f t="shared" si="4"/>
        <v>0</v>
      </c>
      <c r="I49" s="21"/>
      <c r="J49" s="15"/>
      <c r="K49" s="15"/>
      <c r="L49" s="15"/>
      <c r="M49" s="15"/>
      <c r="N49" s="15"/>
      <c r="O49" s="15"/>
      <c r="P49" s="15"/>
      <c r="Q49" s="45"/>
      <c r="R49" s="27"/>
      <c r="S49" s="27"/>
      <c r="T49" s="27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ht="15.75" customHeight="1">
      <c r="A50" s="46"/>
      <c r="B50" s="29" t="str">
        <f t="shared" si="9"/>
        <v>Crystal</v>
      </c>
      <c r="C50" s="28" t="str">
        <f t="shared" si="9"/>
        <v>WW02</v>
      </c>
      <c r="D50" s="30" t="e">
        <f>VLOOKUP( A50,'[1]Payroll Admin 1'!G57:H143,2,FALSE)</f>
        <v>#N/A</v>
      </c>
      <c r="E50" s="31" t="e">
        <f t="shared" si="1"/>
        <v>#N/A</v>
      </c>
      <c r="F50" s="20" t="str">
        <f t="shared" si="2"/>
        <v>WW02 0 Hrs</v>
      </c>
      <c r="G50" s="32">
        <f t="shared" si="3"/>
        <v>0</v>
      </c>
      <c r="H50" s="33">
        <f t="shared" si="4"/>
        <v>0</v>
      </c>
      <c r="I50" s="32"/>
      <c r="J50" s="28"/>
      <c r="K50" s="28"/>
      <c r="L50" s="28"/>
      <c r="M50" s="28"/>
      <c r="N50" s="28"/>
      <c r="O50" s="28"/>
      <c r="P50" s="28"/>
      <c r="Q50" s="47"/>
      <c r="R50" s="37"/>
      <c r="S50" s="37"/>
      <c r="T50" s="37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ht="15.75" customHeight="1" thickBot="1">
      <c r="A51" s="41"/>
      <c r="B51" s="24" t="str">
        <f t="shared" si="9"/>
        <v>Crystal</v>
      </c>
      <c r="C51" s="15" t="str">
        <f t="shared" si="9"/>
        <v>WW02</v>
      </c>
      <c r="D51" s="60" t="e">
        <f>VLOOKUP( A51,'[1]Payroll Admin 1'!G58:H144,2,FALSE)</f>
        <v>#N/A</v>
      </c>
      <c r="E51" s="19" t="e">
        <f t="shared" si="1"/>
        <v>#N/A</v>
      </c>
      <c r="F51" s="61" t="str">
        <f t="shared" si="2"/>
        <v>WW02 0 Hrs</v>
      </c>
      <c r="G51" s="62">
        <f t="shared" si="3"/>
        <v>0</v>
      </c>
      <c r="H51" s="22">
        <f t="shared" si="4"/>
        <v>0</v>
      </c>
      <c r="I51" s="21"/>
      <c r="J51" s="15"/>
      <c r="K51" s="15"/>
      <c r="L51" s="15"/>
      <c r="M51" s="15"/>
      <c r="N51" s="15"/>
      <c r="O51" s="15"/>
      <c r="P51" s="15"/>
      <c r="Q51" s="45"/>
      <c r="R51" s="27"/>
      <c r="S51" s="27"/>
      <c r="T51" s="27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</sheetData>
  <autoFilter ref="A2:AI51" xr:uid="{00000000-0009-0000-0000-000006000000}"/>
  <conditionalFormatting sqref="D3:D51">
    <cfRule type="cellIs" dxfId="2" priority="2" operator="lessThan">
      <formula>0</formula>
    </cfRule>
  </conditionalFormatting>
  <conditionalFormatting sqref="F1:H51">
    <cfRule type="cellIs" dxfId="1" priority="1" operator="greaterThanOrEqual">
      <formula>40</formula>
    </cfRule>
  </conditionalFormatting>
  <conditionalFormatting sqref="U49:U51">
    <cfRule type="notContainsBlanks" dxfId="0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 ONLY - WW03 - 2026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2026-01-16T15:17:48Z</dcterms:created>
  <dcterms:modified xsi:type="dcterms:W3CDTF">2026-01-16T15:18:12Z</dcterms:modified>
</cp:coreProperties>
</file>